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3c47c8ccf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 Scenarios" sheetId="1" r:id="R6f9be8af97db4153"/>
    <x:sheet xmlns:r="http://schemas.openxmlformats.org/officeDocument/2006/relationships" name="Data Inventory" sheetId="2" r:id="R5fe37891a0574fd2"/>
    <x:sheet xmlns:r="http://schemas.openxmlformats.org/officeDocument/2006/relationships" name="Assumptions" sheetId="3" r:id="R4f3e21528a9e4a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"/>
  </x:numFmts>
  <x:fonts count="6">
    <x:font>
      <x:sz val="11"/>
      <x:name val="Carlito"/>
    </x:font>
    <x:font>
      <x:sz val="10"/>
      <x:color rgb="FF1F1F1F"/>
      <x:name val="Arial"/>
    </x:font>
    <x:font>
      <x:b/>
      <x:sz val="16"/>
      <x:color rgb="FF17365D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sz val="9"/>
      <x:color rgb="FF1F1F1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202" fontId="5" fillId="4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wrapText="1"/>
    </x:xf>
    <x:xf numFmtId="201" fontId="5" fillId="4" borderId="0" xfId="0" applyNumberFormat="1" applyFont="1" applyFill="1" applyBorder="1" applyAlignment="1">
      <x:alignment wrapText="1"/>
    </x:xf>
    <x:xf numFmtId="202" fontId="5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  <x:xf numFmtId="201" fontId="5" fillId="4" borderId="0" xfId="0" applyNumberFormat="1" applyFont="1" applyFill="1" applyBorder="1" applyAlignment="1">
      <x:alignment vertical="top" wrapText="1"/>
    </x:xf>
    <x:xf numFmtId="202" fontId="5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/>
    <x:xf numFmtId="201" fontId="5" fillId="7" borderId="0" xfId="0" applyNumberFormat="1" applyFont="1" applyFill="1" applyBorder="1" applyAlignment="1">
      <x:alignment vertical="top" wrapText="1"/>
    </x:xf>
    <x:xf numFmtId="202" fontId="5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/>
    <x:xf numFmtId="200" fontId="5" fillId="3" borderId="0" xfId="0" applyNumberFormat="1" applyFont="1" applyFill="1" applyBorder="1" applyAlignment="1">
      <x:alignment vertical="top" wrapText="1"/>
    </x:xf>
    <x:xf numFmtId="200" fontId="5" fillId="7" borderId="0" xfId="0" applyNumberFormat="1" applyFont="1" applyFill="1" applyBorder="1" applyAlignment="1">
      <x:alignment vertical="top" wrapText="1"/>
    </x:xf>
    <x:xf numFmtId="200" fontId="5" fillId="7" borderId="0" xfId="0" applyNumberFormat="1" applyFont="1" applyFill="1" applyBorder="1"/>
    <x:xf numFmtId="201" fontId="5" fillId="7" borderId="0" xfId="0" applyNumberFormat="1" applyFont="1" applyFill="1" applyBorder="1"/>
    <x:xf numFmtId="202" fontId="5" fillId="7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5" fillId="7" borderId="0" xfId="0" applyNumberFormat="1" applyFont="1" applyFill="1" applyBorder="1" applyAlignment="1">
      <x:alignment wrapText="1"/>
    </x:xf>
    <x:xf numFmtId="201" fontId="5" fillId="7" borderId="0" xfId="0" applyNumberFormat="1" applyFont="1" applyFill="1" applyBorder="1" applyAlignment="1">
      <x:alignment wrapText="1"/>
    </x:xf>
    <x:xf numFmtId="202" fontId="5" fillId="7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7bbcdc25d4de8" /><Relationship Type="http://schemas.openxmlformats.org/officeDocument/2006/relationships/theme" Target="/xl/theme/theme1.xml" Id="R3d05dfc874c945c5" /><Relationship Type="http://schemas.openxmlformats.org/officeDocument/2006/relationships/sharedStrings" Target="/xl/sharedStrings.xml" Id="Rbd6401f037374e2b" /><Relationship Type="http://schemas.openxmlformats.org/officeDocument/2006/relationships/worksheet" Target="/xl/worksheets/sheet1.xml" Id="R6f9be8af97db4153" /><Relationship Type="http://schemas.openxmlformats.org/officeDocument/2006/relationships/worksheet" Target="/xl/worksheets/sheet2.xml" Id="R5fe37891a0574fd2" /><Relationship Type="http://schemas.openxmlformats.org/officeDocument/2006/relationships/worksheet" Target="/xl/worksheets/sheet3.xml" Id="R4f3e21528a9e4a39" /></Relationships>
</file>

<file path=xl/tables/table1.xml><?xml version="1.0" encoding="utf-8"?>
<x:table xmlns:x="http://schemas.openxmlformats.org/spreadsheetml/2006/main" id="4" name="RouteScenarioTable" displayName="RouteScenarioTable" ref="A5:O64" headerRowCount="1" totalsRowCount="0" totalsRowShown="0">
  <x:tableColumns count="15">
    <x:tableColumn id="1" name="Route"/>
    <x:tableColumn id="2" name="Service category"/>
    <x:tableColumn id="3" name="Weekday boardings (observed)"/>
    <x:tableColumn id="4" name="Saturday boardings (observed)"/>
    <x:tableColumn id="5" name="Sunday boardings (observed)"/>
    <x:tableColumn id="6" name="Ridership month"/>
    <x:tableColumn id="7" name="Scenario group (assumed)"/>
    <x:tableColumn id="8" name="Future rides per changed rider, 90d (assumed)"/>
    <x:tableColumn id="9" name="Riders visible per inspection (assumed)"/>
    <x:tableColumn id="10" name="Current riders without validator tap (assumed)"/>
    <x:tableColumn id="11" name="Conversion to tapping after inspection (assumed)"/>
    <x:tableColumn id="12" name="Projected added taps per inspection (90d)"/>
    <x:tableColumn id="13" name="Ridership coverage status"/>
    <x:tableColumn id="14" name="Source URL"/>
    <x:tableColumn id="15" name="Data quality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InventoryTable" displayName="DataInventoryTable" ref="A4:E9" headerRowCount="1" totalsRowCount="0" totalsRowShown="0">
  <x:tableColumns count="5">
    <x:tableColumn id="1" name="Data source"/>
    <x:tableColumn id="2" name="Availability found"/>
    <x:tableColumn id="3" name="Use for this project"/>
    <x:tableColumn id="4" name="Main limitation / access gap"/>
    <x:tableColumn id="5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umptionTable" displayName="AssumptionTable" ref="A4:D13" headerRowCount="1" totalsRowCount="0" totalsRowShown="0">
  <x:tableColumns count="4">
    <x:tableColumn id="1" name="Input"/>
    <x:tableColumn id="2" name="Scenario value"/>
    <x:tableColumn id="3" name="Status"/>
    <x:tableColumn id="4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04e232b2fe43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745d30af6848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a4118ead0346b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4" hidden="0" customWidth="1"/>
    <x:col min="13" max="13" width="31" hidden="0" customWidth="1"/>
    <x:col min="14" max="14" width="59" hidden="0" customWidth="1"/>
    <x:col min="15" max="15" width="58" hidden="0" customWidth="1"/>
  </x:cols>
  <x:sheetData>
    <x:row r="1">
      <x:c r="A1" s="2" t="str">
        <x:v>Muni tap opportunity scenarios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5" t="str">
        <x:v>Observed route boardings are August 2026 SFMTA APC averages. All 58 route IDs in that weekday snapshot are included; 57 have a numeric weekday value. F Market &amp; Wharves is included with estimated inputs. Cable cars are excluded.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5" t="str">
        <x:v>Objective: projected additional fare-validator taps within 90 days per inspection event. Inspection exposure and tap response are illustrative assumptions, not observed behavior. Valid cash, MuniMobile, or pass payments may not create validator taps.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5" ht="52" customHeight="1">
      <x:c r="A5" s="38" t="str">
        <x:v>Route</x:v>
      </x:c>
      <x:c r="B5" s="38" t="str">
        <x:v>Service category</x:v>
      </x:c>
      <x:c r="C5" s="38" t="str">
        <x:v>Weekday boardings (observed)</x:v>
      </x:c>
      <x:c r="D5" s="38" t="str">
        <x:v>Saturday boardings (observed)</x:v>
      </x:c>
      <x:c r="E5" s="38" t="str">
        <x:v>Sunday boardings (observed)</x:v>
      </x:c>
      <x:c r="F5" s="38" t="str">
        <x:v>Ridership month</x:v>
      </x:c>
      <x:c r="G5" s="38" t="str">
        <x:v>Scenario group (assumed)</x:v>
      </x:c>
      <x:c r="H5" s="38" t="str">
        <x:v>Future rides per changed rider, 90d (assumed)</x:v>
      </x:c>
      <x:c r="I5" s="38" t="str">
        <x:v>Riders visible per inspection (assumed)</x:v>
      </x:c>
      <x:c r="J5" s="38" t="str">
        <x:v>Current riders without validator tap (assumed)</x:v>
      </x:c>
      <x:c r="K5" s="38" t="str">
        <x:v>Conversion to tapping after inspection (assumed)</x:v>
      </x:c>
      <x:c r="L5" s="38" t="str">
        <x:v>Projected added taps per inspection (90d)</x:v>
      </x:c>
      <x:c r="M5" s="38" t="str">
        <x:v>Ridership coverage status</x:v>
      </x:c>
      <x:c r="N5" s="38" t="str">
        <x:v>Source URL</x:v>
      </x:c>
      <x:c r="O5" s="38" t="str">
        <x:v>Data quality note</x:v>
      </x:c>
    </x:row>
    <x:row r="6" ht="31" customHeight="1">
      <x:c r="A6" s="28" t="str">
        <x:v>N Judah</x:v>
      </x:c>
      <x:c r="B6" s="28" t="str">
        <x:v>Muni Metro</x:v>
      </x:c>
      <x:c r="C6" s="29" t="n">
        <x:v>38300</x:v>
      </x:c>
      <x:c r="D6" s="29" t="n">
        <x:v>29200</x:v>
      </x:c>
      <x:c r="E6" s="48" t="n">
        <x:v>24100</x:v>
      </x:c>
      <x:c r="F6" s="31" t="str">
        <x:v>August 2026</x:v>
      </x:c>
      <x:c r="G6" s="42" t="str">
        <x:v>Repeat-use scenario</x:v>
      </x:c>
      <x:c r="H6" s="49" t="n">
        <x:f>IF(G6="Tourist-heavy scenario",Assumptions!$B$6,Assumptions!$B$5)</x:f>
        <x:v>45</x:v>
      </x:c>
      <x:c r="I6" s="49" t="n">
        <x:f>IF(G6="Tourist-heavy scenario",IF(C6="",Assumptions!$B$10,IF(C6&gt;=10000,Assumptions!$B$10,Assumptions!$B$9)),IF(C6&gt;=20000,Assumptions!$B$7,IF(C6&gt;=10000,Assumptions!$B$8,Assumptions!$B$9)))</x:f>
        <x:v>50</x:v>
      </x:c>
      <x:c r="J6" s="44" t="n">
        <x:f>Assumptions!$B$11</x:f>
        <x:v>0.15</x:v>
      </x:c>
      <x:c r="K6" s="44" t="n">
        <x:f>Assumptions!$B$12</x:f>
        <x:v>0.2</x:v>
      </x:c>
      <x:c r="L6" s="45" t="n">
        <x:f>I6*J6*K6*H6</x:f>
        <x:v>67.5</x:v>
      </x:c>
      <x:c r="M6" s="28" t="str">
        <x:v>Observed APC boardings</x:v>
      </x:c>
      <x:c r="N6" s="28" t="str">
        <x:v>https://www.sfmta.com/reports/average-daily-muni-boardings-route-and-month-pre-pandemic-present</x:v>
      </x:c>
      <x:c r="O6" s="28" t="str">
        <x:v>Standard-service repeat-use scenario; exposure tier is synthetic. APC route/day averages do not identify the inspected trip, validator taps, or riders checked.</x:v>
      </x:c>
    </x:row>
    <x:row r="7" ht="31" customHeight="1">
      <x:c r="A7" s="28" t="str">
        <x:v>49 Van Ness/Mission</x:v>
      </x:c>
      <x:c r="B7" s="28" t="str">
        <x:v>Frequent Local</x:v>
      </x:c>
      <x:c r="C7" s="29" t="n">
        <x:v>34400</x:v>
      </x:c>
      <x:c r="D7" s="29" t="n">
        <x:v>26500</x:v>
      </x:c>
      <x:c r="E7" s="48" t="n">
        <x:v>22500</x:v>
      </x:c>
      <x:c r="F7" s="31" t="str">
        <x:v>August 2026</x:v>
      </x:c>
      <x:c r="G7" s="42" t="str">
        <x:v>Repeat-use scenario</x:v>
      </x:c>
      <x:c r="H7" s="49" t="n">
        <x:f>IF(G7="Tourist-heavy scenario",Assumptions!$B$6,Assumptions!$B$5)</x:f>
        <x:v>45</x:v>
      </x:c>
      <x:c r="I7" s="49" t="n">
        <x:f>IF(G7="Tourist-heavy scenario",IF(C7="",Assumptions!$B$10,IF(C7&gt;=10000,Assumptions!$B$10,Assumptions!$B$9)),IF(C7&gt;=20000,Assumptions!$B$7,IF(C7&gt;=10000,Assumptions!$B$8,Assumptions!$B$9)))</x:f>
        <x:v>50</x:v>
      </x:c>
      <x:c r="J7" s="44" t="n">
        <x:f>Assumptions!$B$11</x:f>
        <x:v>0.15</x:v>
      </x:c>
      <x:c r="K7" s="44" t="n">
        <x:f>Assumptions!$B$12</x:f>
        <x:v>0.2</x:v>
      </x:c>
      <x:c r="L7" s="45" t="n">
        <x:f>I7*J7*K7*H7</x:f>
        <x:v>67.5</x:v>
      </x:c>
      <x:c r="M7" s="28" t="str">
        <x:v>Observed APC boardings</x:v>
      </x:c>
      <x:c r="N7" s="28" t="str">
        <x:v>https://www.sfmta.com/reports/average-daily-muni-boardings-route-and-month-pre-pandemic-present</x:v>
      </x:c>
      <x:c r="O7" s="28" t="str">
        <x:v>Standard-service repeat-use scenario; exposure tier is synthetic. APC route/day averages do not identify the inspected trip, validator taps, or riders checked.</x:v>
      </x:c>
    </x:row>
    <x:row r="8" ht="31" customHeight="1">
      <x:c r="A8" s="28" t="str">
        <x:v>38R Geary Rapid</x:v>
      </x:c>
      <x:c r="B8" s="28" t="str">
        <x:v>Rapid Bus</x:v>
      </x:c>
      <x:c r="C8" s="29" t="n">
        <x:v>28800</x:v>
      </x:c>
      <x:c r="D8" s="29" t="n">
        <x:v>18100</x:v>
      </x:c>
      <x:c r="E8" s="48" t="n">
        <x:v>15100</x:v>
      </x:c>
      <x:c r="F8" s="31" t="str">
        <x:v>August 2026</x:v>
      </x:c>
      <x:c r="G8" s="42" t="str">
        <x:v>Repeat-use scenario</x:v>
      </x:c>
      <x:c r="H8" s="49" t="n">
        <x:f>IF(G8="Tourist-heavy scenario",Assumptions!$B$6,Assumptions!$B$5)</x:f>
        <x:v>45</x:v>
      </x:c>
      <x:c r="I8" s="49" t="n">
        <x:f>IF(G8="Tourist-heavy scenario",IF(C8="",Assumptions!$B$10,IF(C8&gt;=10000,Assumptions!$B$10,Assumptions!$B$9)),IF(C8&gt;=20000,Assumptions!$B$7,IF(C8&gt;=10000,Assumptions!$B$8,Assumptions!$B$9)))</x:f>
        <x:v>50</x:v>
      </x:c>
      <x:c r="J8" s="44" t="n">
        <x:f>Assumptions!$B$11</x:f>
        <x:v>0.15</x:v>
      </x:c>
      <x:c r="K8" s="44" t="n">
        <x:f>Assumptions!$B$12</x:f>
        <x:v>0.2</x:v>
      </x:c>
      <x:c r="L8" s="45" t="n">
        <x:f>I8*J8*K8*H8</x:f>
        <x:v>67.5</x:v>
      </x:c>
      <x:c r="M8" s="28" t="str">
        <x:v>Observed APC boardings</x:v>
      </x:c>
      <x:c r="N8" s="28" t="str">
        <x:v>https://www.sfmta.com/reports/average-daily-muni-boardings-route-and-month-pre-pandemic-present</x:v>
      </x:c>
      <x:c r="O8" s="28" t="str">
        <x:v>Standard-service repeat-use scenario; exposure tier is synthetic. APC route/day averages do not identify the inspected trip, validator taps, or riders checked.</x:v>
      </x:c>
    </x:row>
    <x:row r="9" ht="31" customHeight="1">
      <x:c r="A9" s="28" t="str">
        <x:v>T Third</x:v>
      </x:c>
      <x:c r="B9" s="28" t="str">
        <x:v>Muni Metro</x:v>
      </x:c>
      <x:c r="C9" s="29" t="n">
        <x:v>26600</x:v>
      </x:c>
      <x:c r="D9" s="29" t="n">
        <x:v>20500</x:v>
      </x:c>
      <x:c r="E9" s="48" t="n">
        <x:v>18100</x:v>
      </x:c>
      <x:c r="F9" s="31" t="str">
        <x:v>August 2026</x:v>
      </x:c>
      <x:c r="G9" s="42" t="str">
        <x:v>Repeat-use scenario</x:v>
      </x:c>
      <x:c r="H9" s="49" t="n">
        <x:f>IF(G9="Tourist-heavy scenario",Assumptions!$B$6,Assumptions!$B$5)</x:f>
        <x:v>45</x:v>
      </x:c>
      <x:c r="I9" s="49" t="n">
        <x:f>IF(G9="Tourist-heavy scenario",IF(C9="",Assumptions!$B$10,IF(C9&gt;=10000,Assumptions!$B$10,Assumptions!$B$9)),IF(C9&gt;=20000,Assumptions!$B$7,IF(C9&gt;=10000,Assumptions!$B$8,Assumptions!$B$9)))</x:f>
        <x:v>50</x:v>
      </x:c>
      <x:c r="J9" s="44" t="n">
        <x:f>Assumptions!$B$11</x:f>
        <x:v>0.15</x:v>
      </x:c>
      <x:c r="K9" s="44" t="n">
        <x:f>Assumptions!$B$12</x:f>
        <x:v>0.2</x:v>
      </x:c>
      <x:c r="L9" s="45" t="n">
        <x:f>I9*J9*K9*H9</x:f>
        <x:v>67.5</x:v>
      </x:c>
      <x:c r="M9" s="28" t="str">
        <x:v>Observed APC boardings</x:v>
      </x:c>
      <x:c r="N9" s="28" t="str">
        <x:v>https://www.sfmta.com/reports/average-daily-muni-boardings-route-and-month-pre-pandemic-present</x:v>
      </x:c>
      <x:c r="O9" s="28" t="str">
        <x:v>Standard-service repeat-use scenario; exposure tier is synthetic. APC route/day averages do not identify the inspected trip, validator taps, or riders checked.</x:v>
      </x:c>
    </x:row>
    <x:row r="10" ht="31" customHeight="1">
      <x:c r="A10" s="28" t="str">
        <x:v>14R Mission Rapid</x:v>
      </x:c>
      <x:c r="B10" s="28" t="str">
        <x:v>Rapid Bus</x:v>
      </x:c>
      <x:c r="C10" s="29" t="n">
        <x:v>22400</x:v>
      </x:c>
      <x:c r="D10" s="29" t="n">
        <x:v>15200</x:v>
      </x:c>
      <x:c r="E10" s="48" t="n">
        <x:v>13100</x:v>
      </x:c>
      <x:c r="F10" s="31" t="str">
        <x:v>August 2026</x:v>
      </x:c>
      <x:c r="G10" s="42" t="str">
        <x:v>Repeat-use scenario</x:v>
      </x:c>
      <x:c r="H10" s="49" t="n">
        <x:f>IF(G10="Tourist-heavy scenario",Assumptions!$B$6,Assumptions!$B$5)</x:f>
        <x:v>45</x:v>
      </x:c>
      <x:c r="I10" s="49" t="n">
        <x:f>IF(G10="Tourist-heavy scenario",IF(C10="",Assumptions!$B$10,IF(C10&gt;=10000,Assumptions!$B$10,Assumptions!$B$9)),IF(C10&gt;=20000,Assumptions!$B$7,IF(C10&gt;=10000,Assumptions!$B$8,Assumptions!$B$9)))</x:f>
        <x:v>50</x:v>
      </x:c>
      <x:c r="J10" s="44" t="n">
        <x:f>Assumptions!$B$11</x:f>
        <x:v>0.15</x:v>
      </x:c>
      <x:c r="K10" s="44" t="n">
        <x:f>Assumptions!$B$12</x:f>
        <x:v>0.2</x:v>
      </x:c>
      <x:c r="L10" s="45" t="n">
        <x:f>I10*J10*K10*H10</x:f>
        <x:v>67.5</x:v>
      </x:c>
      <x:c r="M10" s="28" t="str">
        <x:v>Observed APC boardings</x:v>
      </x:c>
      <x:c r="N10" s="28" t="str">
        <x:v>https://www.sfmta.com/reports/average-daily-muni-boardings-route-and-month-pre-pandemic-present</x:v>
      </x:c>
      <x:c r="O10" s="28" t="str">
        <x:v>Standard-service repeat-use scenario; exposure tier is synthetic. APC route/day averages do not identify the inspected trip, validator taps, or riders checked.</x:v>
      </x:c>
    </x:row>
    <x:row r="11" ht="31" customHeight="1">
      <x:c r="A11" s="28" t="str">
        <x:v>14 Mission</x:v>
      </x:c>
      <x:c r="B11" s="28" t="str">
        <x:v>Frequent Local</x:v>
      </x:c>
      <x:c r="C11" s="29" t="n">
        <x:v>22000</x:v>
      </x:c>
      <x:c r="D11" s="29" t="n">
        <x:v>22700</x:v>
      </x:c>
      <x:c r="E11" s="48" t="n">
        <x:v>20300</x:v>
      </x:c>
      <x:c r="F11" s="31" t="str">
        <x:v>August 2026</x:v>
      </x:c>
      <x:c r="G11" s="42" t="str">
        <x:v>Repeat-use scenario</x:v>
      </x:c>
      <x:c r="H11" s="49" t="n">
        <x:f>IF(G11="Tourist-heavy scenario",Assumptions!$B$6,Assumptions!$B$5)</x:f>
        <x:v>45</x:v>
      </x:c>
      <x:c r="I11" s="49" t="n">
        <x:f>IF(G11="Tourist-heavy scenario",IF(C11="",Assumptions!$B$10,IF(C11&gt;=10000,Assumptions!$B$10,Assumptions!$B$9)),IF(C11&gt;=20000,Assumptions!$B$7,IF(C11&gt;=10000,Assumptions!$B$8,Assumptions!$B$9)))</x:f>
        <x:v>50</x:v>
      </x:c>
      <x:c r="J11" s="44" t="n">
        <x:f>Assumptions!$B$11</x:f>
        <x:v>0.15</x:v>
      </x:c>
      <x:c r="K11" s="44" t="n">
        <x:f>Assumptions!$B$12</x:f>
        <x:v>0.2</x:v>
      </x:c>
      <x:c r="L11" s="45" t="n">
        <x:f>I11*J11*K11*H11</x:f>
        <x:v>67.5</x:v>
      </x:c>
      <x:c r="M11" s="28" t="str">
        <x:v>Observed APC boardings</x:v>
      </x:c>
      <x:c r="N11" s="28" t="str">
        <x:v>https://www.sfmta.com/reports/average-daily-muni-boardings-route-and-month-pre-pandemic-present</x:v>
      </x:c>
      <x:c r="O11" s="28" t="str">
        <x:v>Standard-service repeat-use scenario; exposure tier is synthetic. APC route/day averages do not identify the inspected trip, validator taps, or riders checked.</x:v>
      </x:c>
    </x:row>
    <x:row r="12" ht="31" customHeight="1">
      <x:c r="A12" s="28" t="str">
        <x:v>22 Fillmore</x:v>
      </x:c>
      <x:c r="B12" s="28" t="str">
        <x:v>Frequent Local</x:v>
      </x:c>
      <x:c r="C12" s="29" t="n">
        <x:v>21500</x:v>
      </x:c>
      <x:c r="D12" s="29" t="n">
        <x:v>17900</x:v>
      </x:c>
      <x:c r="E12" s="48" t="n">
        <x:v>15400</x:v>
      </x:c>
      <x:c r="F12" s="31" t="str">
        <x:v>August 2026</x:v>
      </x:c>
      <x:c r="G12" s="42" t="str">
        <x:v>Repeat-use scenario</x:v>
      </x:c>
      <x:c r="H12" s="49" t="n">
        <x:f>IF(G12="Tourist-heavy scenario",Assumptions!$B$6,Assumptions!$B$5)</x:f>
        <x:v>45</x:v>
      </x:c>
      <x:c r="I12" s="49" t="n">
        <x:f>IF(G12="Tourist-heavy scenario",IF(C12="",Assumptions!$B$10,IF(C12&gt;=10000,Assumptions!$B$10,Assumptions!$B$9)),IF(C12&gt;=20000,Assumptions!$B$7,IF(C12&gt;=10000,Assumptions!$B$8,Assumptions!$B$9)))</x:f>
        <x:v>50</x:v>
      </x:c>
      <x:c r="J12" s="44" t="n">
        <x:f>Assumptions!$B$11</x:f>
        <x:v>0.15</x:v>
      </x:c>
      <x:c r="K12" s="44" t="n">
        <x:f>Assumptions!$B$12</x:f>
        <x:v>0.2</x:v>
      </x:c>
      <x:c r="L12" s="45" t="n">
        <x:f>I12*J12*K12*H12</x:f>
        <x:v>67.5</x:v>
      </x:c>
      <x:c r="M12" s="28" t="str">
        <x:v>Observed APC boardings</x:v>
      </x:c>
      <x:c r="N12" s="28" t="str">
        <x:v>https://www.sfmta.com/reports/average-daily-muni-boardings-route-and-month-pre-pandemic-present</x:v>
      </x:c>
      <x:c r="O12" s="28" t="str">
        <x:v>Standard-service repeat-use scenario; exposure tier is synthetic. APC route/day averages do not identify the inspected trip, validator taps, or riders checked.</x:v>
      </x:c>
    </x:row>
    <x:row r="13" ht="31" customHeight="1">
      <x:c r="A13" s="28" t="str">
        <x:v>M Ocean View</x:v>
      </x:c>
      <x:c r="B13" s="28" t="str">
        <x:v>Muni Metro</x:v>
      </x:c>
      <x:c r="C13" s="29" t="n">
        <x:v>20300</x:v>
      </x:c>
      <x:c r="D13" s="29" t="n">
        <x:v>14800</x:v>
      </x:c>
      <x:c r="E13" s="48" t="n">
        <x:v>12000</x:v>
      </x:c>
      <x:c r="F13" s="31" t="str">
        <x:v>August 2026</x:v>
      </x:c>
      <x:c r="G13" s="42" t="str">
        <x:v>Repeat-use scenario</x:v>
      </x:c>
      <x:c r="H13" s="49" t="n">
        <x:f>IF(G13="Tourist-heavy scenario",Assumptions!$B$6,Assumptions!$B$5)</x:f>
        <x:v>45</x:v>
      </x:c>
      <x:c r="I13" s="49" t="n">
        <x:f>IF(G13="Tourist-heavy scenario",IF(C13="",Assumptions!$B$10,IF(C13&gt;=10000,Assumptions!$B$10,Assumptions!$B$9)),IF(C13&gt;=20000,Assumptions!$B$7,IF(C13&gt;=10000,Assumptions!$B$8,Assumptions!$B$9)))</x:f>
        <x:v>50</x:v>
      </x:c>
      <x:c r="J13" s="44" t="n">
        <x:f>Assumptions!$B$11</x:f>
        <x:v>0.15</x:v>
      </x:c>
      <x:c r="K13" s="44" t="n">
        <x:f>Assumptions!$B$12</x:f>
        <x:v>0.2</x:v>
      </x:c>
      <x:c r="L13" s="45" t="n">
        <x:f>I13*J13*K13*H13</x:f>
        <x:v>67.5</x:v>
      </x:c>
      <x:c r="M13" s="28" t="str">
        <x:v>Observed APC boardings</x:v>
      </x:c>
      <x:c r="N13" s="28" t="str">
        <x:v>https://www.sfmta.com/reports/average-daily-muni-boardings-route-and-month-pre-pandemic-present</x:v>
      </x:c>
      <x:c r="O13" s="28" t="str">
        <x:v>Standard-service repeat-use scenario; exposure tier is synthetic. APC route/day averages do not identify the inspected trip, validator taps, or riders checked.</x:v>
      </x:c>
    </x:row>
    <x:row r="14" ht="31" customHeight="1">
      <x:c r="A14" s="28" t="str">
        <x:v>1 California</x:v>
      </x:c>
      <x:c r="B14" s="28" t="str">
        <x:v>Frequent Local</x:v>
      </x:c>
      <x:c r="C14" s="29" t="n">
        <x:v>18900</x:v>
      </x:c>
      <x:c r="D14" s="29" t="n">
        <x:v>13600</x:v>
      </x:c>
      <x:c r="E14" s="48" t="n">
        <x:v>11300</x:v>
      </x:c>
      <x:c r="F14" s="31" t="str">
        <x:v>August 2026</x:v>
      </x:c>
      <x:c r="G14" s="42" t="str">
        <x:v>Repeat-use scenario</x:v>
      </x:c>
      <x:c r="H14" s="49" t="n">
        <x:f>IF(G14="Tourist-heavy scenario",Assumptions!$B$6,Assumptions!$B$5)</x:f>
        <x:v>45</x:v>
      </x:c>
      <x:c r="I14" s="49" t="n">
        <x:f>IF(G14="Tourist-heavy scenario",IF(C14="",Assumptions!$B$10,IF(C14&gt;=10000,Assumptions!$B$10,Assumptions!$B$9)),IF(C14&gt;=20000,Assumptions!$B$7,IF(C14&gt;=10000,Assumptions!$B$8,Assumptions!$B$9)))</x:f>
        <x:v>40</x:v>
      </x:c>
      <x:c r="J14" s="44" t="n">
        <x:f>Assumptions!$B$11</x:f>
        <x:v>0.15</x:v>
      </x:c>
      <x:c r="K14" s="44" t="n">
        <x:f>Assumptions!$B$12</x:f>
        <x:v>0.2</x:v>
      </x:c>
      <x:c r="L14" s="45" t="n">
        <x:f>I14*J14*K14*H14</x:f>
        <x:v>54.00000000000001</x:v>
      </x:c>
      <x:c r="M14" s="28" t="str">
        <x:v>Observed APC boardings</x:v>
      </x:c>
      <x:c r="N14" s="28" t="str">
        <x:v>https://www.sfmta.com/reports/average-daily-muni-boardings-route-and-month-pre-pandemic-present</x:v>
      </x:c>
      <x:c r="O14" s="28" t="str">
        <x:v>Standard-service repeat-use scenario; exposure tier is synthetic. APC route/day averages do not identify the inspected trip, validator taps, or riders checked.</x:v>
      </x:c>
    </x:row>
    <x:row r="15" ht="31" customHeight="1">
      <x:c r="A15" s="28" t="str">
        <x:v>8 Bayshore</x:v>
      </x:c>
      <x:c r="B15" s="28" t="str">
        <x:v>Frequent Local</x:v>
      </x:c>
      <x:c r="C15" s="29" t="n">
        <x:v>18800</x:v>
      </x:c>
      <x:c r="D15" s="29" t="n">
        <x:v>23000</x:v>
      </x:c>
      <x:c r="E15" s="48" t="n">
        <x:v>19700</x:v>
      </x:c>
      <x:c r="F15" s="31" t="str">
        <x:v>August 2026</x:v>
      </x:c>
      <x:c r="G15" s="42" t="str">
        <x:v>Repeat-use scenario</x:v>
      </x:c>
      <x:c r="H15" s="49" t="n">
        <x:f>IF(G15="Tourist-heavy scenario",Assumptions!$B$6,Assumptions!$B$5)</x:f>
        <x:v>45</x:v>
      </x:c>
      <x:c r="I15" s="49" t="n">
        <x:f>IF(G15="Tourist-heavy scenario",IF(C15="",Assumptions!$B$10,IF(C15&gt;=10000,Assumptions!$B$10,Assumptions!$B$9)),IF(C15&gt;=20000,Assumptions!$B$7,IF(C15&gt;=10000,Assumptions!$B$8,Assumptions!$B$9)))</x:f>
        <x:v>40</x:v>
      </x:c>
      <x:c r="J15" s="44" t="n">
        <x:f>Assumptions!$B$11</x:f>
        <x:v>0.15</x:v>
      </x:c>
      <x:c r="K15" s="44" t="n">
        <x:f>Assumptions!$B$12</x:f>
        <x:v>0.2</x:v>
      </x:c>
      <x:c r="L15" s="45" t="n">
        <x:f>I15*J15*K15*H15</x:f>
        <x:v>54.00000000000001</x:v>
      </x:c>
      <x:c r="M15" s="28" t="str">
        <x:v>Observed APC boardings</x:v>
      </x:c>
      <x:c r="N15" s="28" t="str">
        <x:v>https://www.sfmta.com/reports/average-daily-muni-boardings-route-and-month-pre-pandemic-present</x:v>
      </x:c>
      <x:c r="O15" s="28" t="str">
        <x:v>Standard-service repeat-use scenario; exposure tier is synthetic. APC route/day averages do not identify the inspected trip, validator taps, or riders checked.</x:v>
      </x:c>
    </x:row>
    <x:row r="16" ht="31" customHeight="1">
      <x:c r="A16" s="28" t="str">
        <x:v>L Taraval</x:v>
      </x:c>
      <x:c r="B16" s="28" t="str">
        <x:v>Muni Metro</x:v>
      </x:c>
      <x:c r="C16" s="29" t="n">
        <x:v>18400</x:v>
      </x:c>
      <x:c r="D16" s="29" t="n">
        <x:v>13400</x:v>
      </x:c>
      <x:c r="E16" s="48" t="n">
        <x:v>11000</x:v>
      </x:c>
      <x:c r="F16" s="31" t="str">
        <x:v>August 2026</x:v>
      </x:c>
      <x:c r="G16" s="42" t="str">
        <x:v>Repeat-use scenario</x:v>
      </x:c>
      <x:c r="H16" s="49" t="n">
        <x:f>IF(G16="Tourist-heavy scenario",Assumptions!$B$6,Assumptions!$B$5)</x:f>
        <x:v>45</x:v>
      </x:c>
      <x:c r="I16" s="49" t="n">
        <x:f>IF(G16="Tourist-heavy scenario",IF(C16="",Assumptions!$B$10,IF(C16&gt;=10000,Assumptions!$B$10,Assumptions!$B$9)),IF(C16&gt;=20000,Assumptions!$B$7,IF(C16&gt;=10000,Assumptions!$B$8,Assumptions!$B$9)))</x:f>
        <x:v>40</x:v>
      </x:c>
      <x:c r="J16" s="44" t="n">
        <x:f>Assumptions!$B$11</x:f>
        <x:v>0.15</x:v>
      </x:c>
      <x:c r="K16" s="44" t="n">
        <x:f>Assumptions!$B$12</x:f>
        <x:v>0.2</x:v>
      </x:c>
      <x:c r="L16" s="45" t="n">
        <x:f>I16*J16*K16*H16</x:f>
        <x:v>54.00000000000001</x:v>
      </x:c>
      <x:c r="M16" s="28" t="str">
        <x:v>Observed APC boardings</x:v>
      </x:c>
      <x:c r="N16" s="28" t="str">
        <x:v>https://www.sfmta.com/reports/average-daily-muni-boardings-route-and-month-pre-pandemic-present</x:v>
      </x:c>
      <x:c r="O16" s="28" t="str">
        <x:v>Standard-service repeat-use scenario; exposure tier is synthetic. APC route/day averages do not identify the inspected trip, validator taps, or riders checked.</x:v>
      </x:c>
    </x:row>
    <x:row r="17" ht="31" customHeight="1">
      <x:c r="A17" s="28" t="str">
        <x:v>38 Geary</x:v>
      </x:c>
      <x:c r="B17" s="28" t="str">
        <x:v>Frequent Local</x:v>
      </x:c>
      <x:c r="C17" s="29" t="n">
        <x:v>18100</x:v>
      </x:c>
      <x:c r="D17" s="29" t="n">
        <x:v>17200</x:v>
      </x:c>
      <x:c r="E17" s="48" t="n">
        <x:v>14300</x:v>
      </x:c>
      <x:c r="F17" s="31" t="str">
        <x:v>August 2026</x:v>
      </x:c>
      <x:c r="G17" s="42" t="str">
        <x:v>Repeat-use scenario</x:v>
      </x:c>
      <x:c r="H17" s="49" t="n">
        <x:f>IF(G17="Tourist-heavy scenario",Assumptions!$B$6,Assumptions!$B$5)</x:f>
        <x:v>45</x:v>
      </x:c>
      <x:c r="I17" s="49" t="n">
        <x:f>IF(G17="Tourist-heavy scenario",IF(C17="",Assumptions!$B$10,IF(C17&gt;=10000,Assumptions!$B$10,Assumptions!$B$9)),IF(C17&gt;=20000,Assumptions!$B$7,IF(C17&gt;=10000,Assumptions!$B$8,Assumptions!$B$9)))</x:f>
        <x:v>40</x:v>
      </x:c>
      <x:c r="J17" s="44" t="n">
        <x:f>Assumptions!$B$11</x:f>
        <x:v>0.15</x:v>
      </x:c>
      <x:c r="K17" s="44" t="n">
        <x:f>Assumptions!$B$12</x:f>
        <x:v>0.2</x:v>
      </x:c>
      <x:c r="L17" s="45" t="n">
        <x:f>I17*J17*K17*H17</x:f>
        <x:v>54.00000000000001</x:v>
      </x:c>
      <x:c r="M17" s="28" t="str">
        <x:v>Observed APC boardings</x:v>
      </x:c>
      <x:c r="N17" s="28" t="str">
        <x:v>https://www.sfmta.com/reports/average-daily-muni-boardings-route-and-month-pre-pandemic-present</x:v>
      </x:c>
      <x:c r="O17" s="28" t="str">
        <x:v>Standard-service repeat-use scenario; exposure tier is synthetic. APC route/day averages do not identify the inspected trip, validator taps, or riders checked.</x:v>
      </x:c>
    </x:row>
    <x:row r="18" ht="31" customHeight="1">
      <x:c r="A18" s="28" t="str">
        <x:v>30 Stockton</x:v>
      </x:c>
      <x:c r="B18" s="28" t="str">
        <x:v>Frequent Local</x:v>
      </x:c>
      <x:c r="C18" s="29" t="n">
        <x:v>15700</x:v>
      </x:c>
      <x:c r="D18" s="29" t="n">
        <x:v>14600</x:v>
      </x:c>
      <x:c r="E18" s="48" t="n">
        <x:v>11900</x:v>
      </x:c>
      <x:c r="F18" s="31" t="str">
        <x:v>August 2026</x:v>
      </x:c>
      <x:c r="G18" s="42" t="str">
        <x:v>Repeat-use scenario</x:v>
      </x:c>
      <x:c r="H18" s="49" t="n">
        <x:f>IF(G18="Tourist-heavy scenario",Assumptions!$B$6,Assumptions!$B$5)</x:f>
        <x:v>45</x:v>
      </x:c>
      <x:c r="I18" s="49" t="n">
        <x:f>IF(G18="Tourist-heavy scenario",IF(C18="",Assumptions!$B$10,IF(C18&gt;=10000,Assumptions!$B$10,Assumptions!$B$9)),IF(C18&gt;=20000,Assumptions!$B$7,IF(C18&gt;=10000,Assumptions!$B$8,Assumptions!$B$9)))</x:f>
        <x:v>40</x:v>
      </x:c>
      <x:c r="J18" s="44" t="n">
        <x:f>Assumptions!$B$11</x:f>
        <x:v>0.15</x:v>
      </x:c>
      <x:c r="K18" s="44" t="n">
        <x:f>Assumptions!$B$12</x:f>
        <x:v>0.2</x:v>
      </x:c>
      <x:c r="L18" s="45" t="n">
        <x:f>I18*J18*K18*H18</x:f>
        <x:v>54.00000000000001</x:v>
      </x:c>
      <x:c r="M18" s="28" t="str">
        <x:v>Observed APC boardings</x:v>
      </x:c>
      <x:c r="N18" s="28" t="str">
        <x:v>https://www.sfmta.com/reports/average-daily-muni-boardings-route-and-month-pre-pandemic-present</x:v>
      </x:c>
      <x:c r="O18" s="28" t="str">
        <x:v>Standard-service repeat-use scenario; exposure tier is synthetic. APC route/day averages do not identify the inspected trip, validator taps, or riders checked.</x:v>
      </x:c>
    </x:row>
    <x:row r="19" ht="31" customHeight="1">
      <x:c r="A19" s="28" t="str">
        <x:v>29 Sunset</x:v>
      </x:c>
      <x:c r="B19" s="28" t="str">
        <x:v>Grid</x:v>
      </x:c>
      <x:c r="C19" s="29" t="n">
        <x:v>15600</x:v>
      </x:c>
      <x:c r="D19" s="29" t="n">
        <x:v>10800</x:v>
      </x:c>
      <x:c r="E19" s="48" t="n">
        <x:v>9500</x:v>
      </x:c>
      <x:c r="F19" s="31" t="str">
        <x:v>August 2026</x:v>
      </x:c>
      <x:c r="G19" s="42" t="str">
        <x:v>Repeat-use scenario</x:v>
      </x:c>
      <x:c r="H19" s="49" t="n">
        <x:f>IF(G19="Tourist-heavy scenario",Assumptions!$B$6,Assumptions!$B$5)</x:f>
        <x:v>45</x:v>
      </x:c>
      <x:c r="I19" s="49" t="n">
        <x:f>IF(G19="Tourist-heavy scenario",IF(C19="",Assumptions!$B$10,IF(C19&gt;=10000,Assumptions!$B$10,Assumptions!$B$9)),IF(C19&gt;=20000,Assumptions!$B$7,IF(C19&gt;=10000,Assumptions!$B$8,Assumptions!$B$9)))</x:f>
        <x:v>40</x:v>
      </x:c>
      <x:c r="J19" s="44" t="n">
        <x:f>Assumptions!$B$11</x:f>
        <x:v>0.15</x:v>
      </x:c>
      <x:c r="K19" s="44" t="n">
        <x:f>Assumptions!$B$12</x:f>
        <x:v>0.2</x:v>
      </x:c>
      <x:c r="L19" s="45" t="n">
        <x:f>I19*J19*K19*H19</x:f>
        <x:v>54.00000000000001</x:v>
      </x:c>
      <x:c r="M19" s="28" t="str">
        <x:v>Observed APC boardings</x:v>
      </x:c>
      <x:c r="N19" s="28" t="str">
        <x:v>https://www.sfmta.com/reports/average-daily-muni-boardings-route-and-month-pre-pandemic-present</x:v>
      </x:c>
      <x:c r="O19" s="28" t="str">
        <x:v>Standard-service repeat-use scenario; exposure tier is synthetic. APC route/day averages do not identify the inspected trip, validator taps, or riders checked.</x:v>
      </x:c>
    </x:row>
    <x:row r="20" ht="31" customHeight="1">
      <x:c r="A20" s="28" t="str">
        <x:v>K Ingleside</x:v>
      </x:c>
      <x:c r="B20" s="28" t="str">
        <x:v>Muni Metro</x:v>
      </x:c>
      <x:c r="C20" s="29" t="n">
        <x:v>14500</x:v>
      </x:c>
      <x:c r="D20" s="29" t="n">
        <x:v>9200</x:v>
      </x:c>
      <x:c r="E20" s="29" t="n">
        <x:v>7600</x:v>
      </x:c>
      <x:c r="F20" s="28" t="str">
        <x:v>August 2026</x:v>
      </x:c>
      <x:c r="G20" s="57" t="str">
        <x:v>Repeat-use scenario</x:v>
      </x:c>
      <x:c r="H20" s="49" t="n">
        <x:f>IF(G20="Tourist-heavy scenario",Assumptions!$B$6,Assumptions!$B$5)</x:f>
        <x:v>45</x:v>
      </x:c>
      <x:c r="I20" s="49" t="n">
        <x:f>IF(G20="Tourist-heavy scenario",IF(C20="",Assumptions!$B$10,IF(C20&gt;=10000,Assumptions!$B$10,Assumptions!$B$9)),IF(C20&gt;=20000,Assumptions!$B$7,IF(C20&gt;=10000,Assumptions!$B$8,Assumptions!$B$9)))</x:f>
        <x:v>40</x:v>
      </x:c>
      <x:c r="J20" s="44" t="n">
        <x:f>Assumptions!$B$11</x:f>
        <x:v>0.15</x:v>
      </x:c>
      <x:c r="K20" s="44" t="n">
        <x:f>Assumptions!$B$12</x:f>
        <x:v>0.2</x:v>
      </x:c>
      <x:c r="L20" s="45" t="n">
        <x:f>I20*J20*K20*H20</x:f>
        <x:v>54.00000000000001</x:v>
      </x:c>
      <x:c r="M20" s="28" t="str">
        <x:v>Observed APC boardings</x:v>
      </x:c>
      <x:c r="N20" s="28" t="str">
        <x:v>https://www.sfmta.com/reports/average-daily-muni-boardings-route-and-month-pre-pandemic-present</x:v>
      </x:c>
      <x:c r="O20" s="28" t="str">
        <x:v>Standard-service repeat-use scenario; exposure tier is synthetic. APC route/day averages do not identify the inspected trip, validator taps, or riders checked.</x:v>
      </x:c>
    </x:row>
    <x:row r="21" ht="31" customHeight="1">
      <x:c r="A21" s="28" t="str">
        <x:v>7 Haight/Noriega</x:v>
      </x:c>
      <x:c r="B21" s="28" t="str">
        <x:v>Frequent Local</x:v>
      </x:c>
      <x:c r="C21" s="29" t="n">
        <x:v>13500</x:v>
      </x:c>
      <x:c r="D21" s="29" t="n">
        <x:v>12000</x:v>
      </x:c>
      <x:c r="E21" s="29" t="n">
        <x:v>10600</x:v>
      </x:c>
      <x:c r="F21" s="28" t="str">
        <x:v>August 2026</x:v>
      </x:c>
      <x:c r="G21" s="57" t="str">
        <x:v>Repeat-use scenario</x:v>
      </x:c>
      <x:c r="H21" s="49" t="n">
        <x:f>IF(G21="Tourist-heavy scenario",Assumptions!$B$6,Assumptions!$B$5)</x:f>
        <x:v>45</x:v>
      </x:c>
      <x:c r="I21" s="49" t="n">
        <x:f>IF(G21="Tourist-heavy scenario",IF(C21="",Assumptions!$B$10,IF(C21&gt;=10000,Assumptions!$B$10,Assumptions!$B$9)),IF(C21&gt;=20000,Assumptions!$B$7,IF(C21&gt;=10000,Assumptions!$B$8,Assumptions!$B$9)))</x:f>
        <x:v>40</x:v>
      </x:c>
      <x:c r="J21" s="44" t="n">
        <x:f>Assumptions!$B$11</x:f>
        <x:v>0.15</x:v>
      </x:c>
      <x:c r="K21" s="44" t="n">
        <x:f>Assumptions!$B$12</x:f>
        <x:v>0.2</x:v>
      </x:c>
      <x:c r="L21" s="45" t="n">
        <x:f>I21*J21*K21*H21</x:f>
        <x:v>54.00000000000001</x:v>
      </x:c>
      <x:c r="M21" s="28" t="str">
        <x:v>Observed APC boardings</x:v>
      </x:c>
      <x:c r="N21" s="28" t="str">
        <x:v>https://www.sfmta.com/reports/average-daily-muni-boardings-route-and-month-pre-pandemic-present</x:v>
      </x:c>
      <x:c r="O21" s="28" t="str">
        <x:v>Standard-service repeat-use scenario; exposure tier is synthetic. APC route/day averages do not identify the inspected trip, validator taps, or riders checked.</x:v>
      </x:c>
    </x:row>
    <x:row r="22" ht="31" customHeight="1">
      <x:c r="A22" s="28" t="str">
        <x:v>44 O'Shaughnessy</x:v>
      </x:c>
      <x:c r="B22" s="28" t="str">
        <x:v>Grid</x:v>
      </x:c>
      <x:c r="C22" s="29" t="n">
        <x:v>12900</x:v>
      </x:c>
      <x:c r="D22" s="29" t="n">
        <x:v>9700</x:v>
      </x:c>
      <x:c r="E22" s="29" t="n">
        <x:v>8500</x:v>
      </x:c>
      <x:c r="F22" s="28" t="str">
        <x:v>August 2026</x:v>
      </x:c>
      <x:c r="G22" s="57" t="str">
        <x:v>Repeat-use scenario</x:v>
      </x:c>
      <x:c r="H22" s="49" t="n">
        <x:f>IF(G22="Tourist-heavy scenario",Assumptions!$B$6,Assumptions!$B$5)</x:f>
        <x:v>45</x:v>
      </x:c>
      <x:c r="I22" s="49" t="n">
        <x:f>IF(G22="Tourist-heavy scenario",IF(C22="",Assumptions!$B$10,IF(C22&gt;=10000,Assumptions!$B$10,Assumptions!$B$9)),IF(C22&gt;=20000,Assumptions!$B$7,IF(C22&gt;=10000,Assumptions!$B$8,Assumptions!$B$9)))</x:f>
        <x:v>40</x:v>
      </x:c>
      <x:c r="J22" s="44" t="n">
        <x:f>Assumptions!$B$11</x:f>
        <x:v>0.15</x:v>
      </x:c>
      <x:c r="K22" s="44" t="n">
        <x:f>Assumptions!$B$12</x:f>
        <x:v>0.2</x:v>
      </x:c>
      <x:c r="L22" s="45" t="n">
        <x:f>I22*J22*K22*H22</x:f>
        <x:v>54.00000000000001</x:v>
      </x:c>
      <x:c r="M22" s="28" t="str">
        <x:v>Observed APC boardings</x:v>
      </x:c>
      <x:c r="N22" s="28" t="str">
        <x:v>https://www.sfmta.com/reports/average-daily-muni-boardings-route-and-month-pre-pandemic-present</x:v>
      </x:c>
      <x:c r="O22" s="28" t="str">
        <x:v>Standard-service repeat-use scenario; exposure tier is synthetic. APC route/day averages do not identify the inspected trip, validator taps, or riders checked.</x:v>
      </x:c>
    </x:row>
    <x:row r="23" ht="31" customHeight="1">
      <x:c r="A23" s="28" t="str">
        <x:v>28 19th Avenue</x:v>
      </x:c>
      <x:c r="B23" s="28" t="str">
        <x:v>Frequent Local</x:v>
      </x:c>
      <x:c r="C23" s="29" t="n">
        <x:v>11800</x:v>
      </x:c>
      <x:c r="D23" s="29" t="n">
        <x:v>12900</x:v>
      </x:c>
      <x:c r="E23" s="29" t="n">
        <x:v>11500</x:v>
      </x:c>
      <x:c r="F23" s="28" t="str">
        <x:v>August 2026</x:v>
      </x:c>
      <x:c r="G23" s="57" t="str">
        <x:v>Repeat-use scenario</x:v>
      </x:c>
      <x:c r="H23" s="49" t="n">
        <x:f>IF(G23="Tourist-heavy scenario",Assumptions!$B$6,Assumptions!$B$5)</x:f>
        <x:v>45</x:v>
      </x:c>
      <x:c r="I23" s="49" t="n">
        <x:f>IF(G23="Tourist-heavy scenario",IF(C23="",Assumptions!$B$10,IF(C23&gt;=10000,Assumptions!$B$10,Assumptions!$B$9)),IF(C23&gt;=20000,Assumptions!$B$7,IF(C23&gt;=10000,Assumptions!$B$8,Assumptions!$B$9)))</x:f>
        <x:v>40</x:v>
      </x:c>
      <x:c r="J23" s="44" t="n">
        <x:f>Assumptions!$B$11</x:f>
        <x:v>0.15</x:v>
      </x:c>
      <x:c r="K23" s="44" t="n">
        <x:f>Assumptions!$B$12</x:f>
        <x:v>0.2</x:v>
      </x:c>
      <x:c r="L23" s="45" t="n">
        <x:f>I23*J23*K23*H23</x:f>
        <x:v>54.00000000000001</x:v>
      </x:c>
      <x:c r="M23" s="28" t="str">
        <x:v>Observed APC boardings</x:v>
      </x:c>
      <x:c r="N23" s="28" t="str">
        <x:v>https://www.sfmta.com/reports/average-daily-muni-boardings-route-and-month-pre-pandemic-present</x:v>
      </x:c>
      <x:c r="O23" s="28" t="str">
        <x:v>Standard-service repeat-use scenario; exposure tier is synthetic. APC route/day averages do not identify the inspected trip, validator taps, or riders checked.</x:v>
      </x:c>
    </x:row>
    <x:row r="24" ht="31" customHeight="1">
      <x:c r="A24" s="28" t="str">
        <x:v>24 Divisadero</x:v>
      </x:c>
      <x:c r="B24" s="28" t="str">
        <x:v>Frequent Local</x:v>
      </x:c>
      <x:c r="C24" s="29" t="n">
        <x:v>10900</x:v>
      </x:c>
      <x:c r="D24" s="29" t="n">
        <x:v>8100</x:v>
      </x:c>
      <x:c r="E24" s="29" t="n">
        <x:v>7000</x:v>
      </x:c>
      <x:c r="F24" s="28" t="str">
        <x:v>August 2026</x:v>
      </x:c>
      <x:c r="G24" s="57" t="str">
        <x:v>Repeat-use scenario</x:v>
      </x:c>
      <x:c r="H24" s="49" t="n">
        <x:f>IF(G24="Tourist-heavy scenario",Assumptions!$B$6,Assumptions!$B$5)</x:f>
        <x:v>45</x:v>
      </x:c>
      <x:c r="I24" s="49" t="n">
        <x:f>IF(G24="Tourist-heavy scenario",IF(C24="",Assumptions!$B$10,IF(C24&gt;=10000,Assumptions!$B$10,Assumptions!$B$9)),IF(C24&gt;=20000,Assumptions!$B$7,IF(C24&gt;=10000,Assumptions!$B$8,Assumptions!$B$9)))</x:f>
        <x:v>40</x:v>
      </x:c>
      <x:c r="J24" s="44" t="n">
        <x:f>Assumptions!$B$11</x:f>
        <x:v>0.15</x:v>
      </x:c>
      <x:c r="K24" s="44" t="n">
        <x:f>Assumptions!$B$12</x:f>
        <x:v>0.2</x:v>
      </x:c>
      <x:c r="L24" s="45" t="n">
        <x:f>I24*J24*K24*H24</x:f>
        <x:v>54.00000000000001</x:v>
      </x:c>
      <x:c r="M24" s="28" t="str">
        <x:v>Observed APC boardings</x:v>
      </x:c>
      <x:c r="N24" s="28" t="str">
        <x:v>https://www.sfmta.com/reports/average-daily-muni-boardings-route-and-month-pre-pandemic-present</x:v>
      </x:c>
      <x:c r="O24" s="28" t="str">
        <x:v>Standard-service repeat-use scenario; exposure tier is synthetic. APC route/day averages do not identify the inspected trip, validator taps, or riders checked.</x:v>
      </x:c>
    </x:row>
    <x:row r="25" ht="31" customHeight="1">
      <x:c r="A25" s="28" t="str">
        <x:v>45 Union/Stockton</x:v>
      </x:c>
      <x:c r="B25" s="28" t="str">
        <x:v>Grid</x:v>
      </x:c>
      <x:c r="C25" s="29" t="n">
        <x:v>10800</x:v>
      </x:c>
      <x:c r="D25" s="29" t="n">
        <x:v>8100</x:v>
      </x:c>
      <x:c r="E25" s="29" t="n">
        <x:v>6900</x:v>
      </x:c>
      <x:c r="F25" s="28" t="str">
        <x:v>August 2026</x:v>
      </x:c>
      <x:c r="G25" s="57" t="str">
        <x:v>Repeat-use scenario</x:v>
      </x:c>
      <x:c r="H25" s="49" t="n">
        <x:f>IF(G25="Tourist-heavy scenario",Assumptions!$B$6,Assumptions!$B$5)</x:f>
        <x:v>45</x:v>
      </x:c>
      <x:c r="I25" s="49" t="n">
        <x:f>IF(G25="Tourist-heavy scenario",IF(C25="",Assumptions!$B$10,IF(C25&gt;=10000,Assumptions!$B$10,Assumptions!$B$9)),IF(C25&gt;=20000,Assumptions!$B$7,IF(C25&gt;=10000,Assumptions!$B$8,Assumptions!$B$9)))</x:f>
        <x:v>40</x:v>
      </x:c>
      <x:c r="J25" s="44" t="n">
        <x:f>Assumptions!$B$11</x:f>
        <x:v>0.15</x:v>
      </x:c>
      <x:c r="K25" s="44" t="n">
        <x:f>Assumptions!$B$12</x:f>
        <x:v>0.2</x:v>
      </x:c>
      <x:c r="L25" s="45" t="n">
        <x:f>I25*J25*K25*H25</x:f>
        <x:v>54.00000000000001</x:v>
      </x:c>
      <x:c r="M25" s="28" t="str">
        <x:v>Observed APC boardings</x:v>
      </x:c>
      <x:c r="N25" s="28" t="str">
        <x:v>https://www.sfmta.com/reports/average-daily-muni-boardings-route-and-month-pre-pandemic-present</x:v>
      </x:c>
      <x:c r="O25" s="28" t="str">
        <x:v>Standard-service repeat-use scenario; exposure tier is synthetic. APC route/day averages do not identify the inspected trip, validator taps, or riders checked.</x:v>
      </x:c>
    </x:row>
    <x:row r="26" ht="31" customHeight="1">
      <x:c r="A26" s="28" t="str">
        <x:v>9R San Bruno Rapid</x:v>
      </x:c>
      <x:c r="B26" s="28" t="str">
        <x:v>Rapid Bus</x:v>
      </x:c>
      <x:c r="C26" s="29" t="n">
        <x:v>10000</x:v>
      </x:c>
      <x:c r="D26" s="29"/>
      <x:c r="E26" s="29"/>
      <x:c r="F26" s="28" t="str">
        <x:v>August 2026</x:v>
      </x:c>
      <x:c r="G26" s="57" t="str">
        <x:v>Repeat-use scenario</x:v>
      </x:c>
      <x:c r="H26" s="49" t="n">
        <x:f>IF(G26="Tourist-heavy scenario",Assumptions!$B$6,Assumptions!$B$5)</x:f>
        <x:v>45</x:v>
      </x:c>
      <x:c r="I26" s="49" t="n">
        <x:f>IF(G26="Tourist-heavy scenario",IF(C26="",Assumptions!$B$10,IF(C26&gt;=10000,Assumptions!$B$10,Assumptions!$B$9)),IF(C26&gt;=20000,Assumptions!$B$7,IF(C26&gt;=10000,Assumptions!$B$8,Assumptions!$B$9)))</x:f>
        <x:v>40</x:v>
      </x:c>
      <x:c r="J26" s="44" t="n">
        <x:f>Assumptions!$B$11</x:f>
        <x:v>0.15</x:v>
      </x:c>
      <x:c r="K26" s="44" t="n">
        <x:f>Assumptions!$B$12</x:f>
        <x:v>0.2</x:v>
      </x:c>
      <x:c r="L26" s="45" t="n">
        <x:f>I26*J26*K26*H26</x:f>
        <x:v>54.00000000000001</x:v>
      </x:c>
      <x:c r="M26" s="28" t="str">
        <x:v>Observed APC boardings</x:v>
      </x:c>
      <x:c r="N26" s="28" t="str">
        <x:v>https://www.sfmta.com/reports/average-daily-muni-boardings-route-and-month-pre-pandemic-present</x:v>
      </x:c>
      <x:c r="O26" s="28" t="str">
        <x:v>Standard-service repeat-use scenario; exposure tier is synthetic. APC route/day averages do not identify the inspected trip, validator taps, or riders checked.</x:v>
      </x:c>
    </x:row>
    <x:row r="27" ht="31" customHeight="1">
      <x:c r="A27" s="28" t="str">
        <x:v>43 Masonic</x:v>
      </x:c>
      <x:c r="B27" s="28" t="str">
        <x:v>Grid</x:v>
      </x:c>
      <x:c r="C27" s="29" t="n">
        <x:v>9500</x:v>
      </x:c>
      <x:c r="D27" s="29" t="n">
        <x:v>5800</x:v>
      </x:c>
      <x:c r="E27" s="29" t="n">
        <x:v>5100</x:v>
      </x:c>
      <x:c r="F27" s="28" t="str">
        <x:v>August 2026</x:v>
      </x:c>
      <x:c r="G27" s="57" t="str">
        <x:v>Repeat-use scenario</x:v>
      </x:c>
      <x:c r="H27" s="49" t="n">
        <x:f>IF(G27="Tourist-heavy scenario",Assumptions!$B$6,Assumptions!$B$5)</x:f>
        <x:v>45</x:v>
      </x:c>
      <x:c r="I27" s="49" t="n">
        <x:f>IF(G27="Tourist-heavy scenario",IF(C27="",Assumptions!$B$10,IF(C27&gt;=10000,Assumptions!$B$10,Assumptions!$B$9)),IF(C27&gt;=20000,Assumptions!$B$7,IF(C27&gt;=10000,Assumptions!$B$8,Assumptions!$B$9)))</x:f>
        <x:v>25</x:v>
      </x:c>
      <x:c r="J27" s="44" t="n">
        <x:f>Assumptions!$B$11</x:f>
        <x:v>0.15</x:v>
      </x:c>
      <x:c r="K27" s="44" t="n">
        <x:f>Assumptions!$B$12</x:f>
        <x:v>0.2</x:v>
      </x:c>
      <x:c r="L27" s="45" t="n">
        <x:f>I27*J27*K27*H27</x:f>
        <x:v>33.75</x:v>
      </x:c>
      <x:c r="M27" s="28" t="str">
        <x:v>Observed APC boardings</x:v>
      </x:c>
      <x:c r="N27" s="28" t="str">
        <x:v>https://www.sfmta.com/reports/average-daily-muni-boardings-route-and-month-pre-pandemic-present</x:v>
      </x:c>
      <x:c r="O27" s="28" t="str">
        <x:v>Standard-service repeat-use scenario; exposure tier is synthetic. APC route/day averages do not identify the inspected trip, validator taps, or riders checked.</x:v>
      </x:c>
    </x:row>
    <x:row r="28" ht="31" customHeight="1">
      <x:c r="A28" s="28" t="str">
        <x:v>5R Fulton Rapid</x:v>
      </x:c>
      <x:c r="B28" s="28" t="str">
        <x:v>Rapid Bus</x:v>
      </x:c>
      <x:c r="C28" s="29" t="n">
        <x:v>9400</x:v>
      </x:c>
      <x:c r="D28" s="29"/>
      <x:c r="E28" s="29"/>
      <x:c r="F28" s="28" t="str">
        <x:v>August 2026</x:v>
      </x:c>
      <x:c r="G28" s="57" t="str">
        <x:v>Repeat-use scenario</x:v>
      </x:c>
      <x:c r="H28" s="49" t="n">
        <x:f>IF(G28="Tourist-heavy scenario",Assumptions!$B$6,Assumptions!$B$5)</x:f>
        <x:v>45</x:v>
      </x:c>
      <x:c r="I28" s="49" t="n">
        <x:f>IF(G28="Tourist-heavy scenario",IF(C28="",Assumptions!$B$10,IF(C28&gt;=10000,Assumptions!$B$10,Assumptions!$B$9)),IF(C28&gt;=20000,Assumptions!$B$7,IF(C28&gt;=10000,Assumptions!$B$8,Assumptions!$B$9)))</x:f>
        <x:v>25</x:v>
      </x:c>
      <x:c r="J28" s="44" t="n">
        <x:f>Assumptions!$B$11</x:f>
        <x:v>0.15</x:v>
      </x:c>
      <x:c r="K28" s="44" t="n">
        <x:f>Assumptions!$B$12</x:f>
        <x:v>0.2</x:v>
      </x:c>
      <x:c r="L28" s="45" t="n">
        <x:f>I28*J28*K28*H28</x:f>
        <x:v>33.75</x:v>
      </x:c>
      <x:c r="M28" s="28" t="str">
        <x:v>Observed APC boardings</x:v>
      </x:c>
      <x:c r="N28" s="28" t="str">
        <x:v>https://www.sfmta.com/reports/average-daily-muni-boardings-route-and-month-pre-pandemic-present</x:v>
      </x:c>
      <x:c r="O28" s="28" t="str">
        <x:v>Standard-service repeat-use scenario; exposure tier is synthetic. APC route/day averages do not identify the inspected trip, validator taps, or riders checked.</x:v>
      </x:c>
    </x:row>
    <x:row r="29" ht="31" customHeight="1">
      <x:c r="A29" s="28" t="str">
        <x:v>48 Quintara/24th Street</x:v>
      </x:c>
      <x:c r="B29" s="28" t="str">
        <x:v>Grid</x:v>
      </x:c>
      <x:c r="C29" s="29" t="n">
        <x:v>8000</x:v>
      </x:c>
      <x:c r="D29" s="29" t="n">
        <x:v>4600</x:v>
      </x:c>
      <x:c r="E29" s="29" t="n">
        <x:v>3800</x:v>
      </x:c>
      <x:c r="F29" s="28" t="str">
        <x:v>August 2026</x:v>
      </x:c>
      <x:c r="G29" s="57" t="str">
        <x:v>Repeat-use scenario</x:v>
      </x:c>
      <x:c r="H29" s="49" t="n">
        <x:f>IF(G29="Tourist-heavy scenario",Assumptions!$B$6,Assumptions!$B$5)</x:f>
        <x:v>45</x:v>
      </x:c>
      <x:c r="I29" s="49" t="n">
        <x:f>IF(G29="Tourist-heavy scenario",IF(C29="",Assumptions!$B$10,IF(C29&gt;=10000,Assumptions!$B$10,Assumptions!$B$9)),IF(C29&gt;=20000,Assumptions!$B$7,IF(C29&gt;=10000,Assumptions!$B$8,Assumptions!$B$9)))</x:f>
        <x:v>25</x:v>
      </x:c>
      <x:c r="J29" s="44" t="n">
        <x:f>Assumptions!$B$11</x:f>
        <x:v>0.15</x:v>
      </x:c>
      <x:c r="K29" s="44" t="n">
        <x:f>Assumptions!$B$12</x:f>
        <x:v>0.2</x:v>
      </x:c>
      <x:c r="L29" s="45" t="n">
        <x:f>I29*J29*K29*H29</x:f>
        <x:v>33.75</x:v>
      </x:c>
      <x:c r="M29" s="28" t="str">
        <x:v>Observed APC boardings</x:v>
      </x:c>
      <x:c r="N29" s="28" t="str">
        <x:v>https://www.sfmta.com/reports/average-daily-muni-boardings-route-and-month-pre-pandemic-present</x:v>
      </x:c>
      <x:c r="O29" s="28" t="str">
        <x:v>Standard-service repeat-use scenario; exposure tier is synthetic. APC route/day averages do not identify the inspected trip, validator taps, or riders checked.</x:v>
      </x:c>
    </x:row>
    <x:row r="30" ht="31" customHeight="1">
      <x:c r="A30" s="28" t="str">
        <x:v>12 Folsom/Pacific</x:v>
      </x:c>
      <x:c r="B30" s="28" t="str">
        <x:v>Grid</x:v>
      </x:c>
      <x:c r="C30" s="29" t="n">
        <x:v>7900</x:v>
      </x:c>
      <x:c r="D30" s="29" t="n">
        <x:v>6000</x:v>
      </x:c>
      <x:c r="E30" s="29" t="n">
        <x:v>5100</x:v>
      </x:c>
      <x:c r="F30" s="28" t="str">
        <x:v>August 2026</x:v>
      </x:c>
      <x:c r="G30" s="57" t="str">
        <x:v>Repeat-use scenario</x:v>
      </x:c>
      <x:c r="H30" s="49" t="n">
        <x:f>IF(G30="Tourist-heavy scenario",Assumptions!$B$6,Assumptions!$B$5)</x:f>
        <x:v>45</x:v>
      </x:c>
      <x:c r="I30" s="49" t="n">
        <x:f>IF(G30="Tourist-heavy scenario",IF(C30="",Assumptions!$B$10,IF(C30&gt;=10000,Assumptions!$B$10,Assumptions!$B$9)),IF(C30&gt;=20000,Assumptions!$B$7,IF(C30&gt;=10000,Assumptions!$B$8,Assumptions!$B$9)))</x:f>
        <x:v>25</x:v>
      </x:c>
      <x:c r="J30" s="44" t="n">
        <x:f>Assumptions!$B$11</x:f>
        <x:v>0.15</x:v>
      </x:c>
      <x:c r="K30" s="44" t="n">
        <x:f>Assumptions!$B$12</x:f>
        <x:v>0.2</x:v>
      </x:c>
      <x:c r="L30" s="45" t="n">
        <x:f>I30*J30*K30*H30</x:f>
        <x:v>33.75</x:v>
      </x:c>
      <x:c r="M30" s="28" t="str">
        <x:v>Observed APC boardings</x:v>
      </x:c>
      <x:c r="N30" s="28" t="str">
        <x:v>https://www.sfmta.com/reports/average-daily-muni-boardings-route-and-month-pre-pandemic-present</x:v>
      </x:c>
      <x:c r="O30" s="28" t="str">
        <x:v>Standard-service repeat-use scenario; exposure tier is synthetic. APC route/day averages do not identify the inspected trip, validator taps, or riders checked.</x:v>
      </x:c>
    </x:row>
    <x:row r="31" ht="31" customHeight="1">
      <x:c r="A31" s="28" t="str">
        <x:v>J Church</x:v>
      </x:c>
      <x:c r="B31" s="28" t="str">
        <x:v>Muni Metro</x:v>
      </x:c>
      <x:c r="C31" s="29" t="n">
        <x:v>7800</x:v>
      </x:c>
      <x:c r="D31" s="29" t="n">
        <x:v>7100</x:v>
      </x:c>
      <x:c r="E31" s="29" t="n">
        <x:v>6100</x:v>
      </x:c>
      <x:c r="F31" s="28" t="str">
        <x:v>August 2026</x:v>
      </x:c>
      <x:c r="G31" s="57" t="str">
        <x:v>Repeat-use scenario</x:v>
      </x:c>
      <x:c r="H31" s="49" t="n">
        <x:f>IF(G31="Tourist-heavy scenario",Assumptions!$B$6,Assumptions!$B$5)</x:f>
        <x:v>45</x:v>
      </x:c>
      <x:c r="I31" s="49" t="n">
        <x:f>IF(G31="Tourist-heavy scenario",IF(C31="",Assumptions!$B$10,IF(C31&gt;=10000,Assumptions!$B$10,Assumptions!$B$9)),IF(C31&gt;=20000,Assumptions!$B$7,IF(C31&gt;=10000,Assumptions!$B$8,Assumptions!$B$9)))</x:f>
        <x:v>25</x:v>
      </x:c>
      <x:c r="J31" s="44" t="n">
        <x:f>Assumptions!$B$11</x:f>
        <x:v>0.15</x:v>
      </x:c>
      <x:c r="K31" s="44" t="n">
        <x:f>Assumptions!$B$12</x:f>
        <x:v>0.2</x:v>
      </x:c>
      <x:c r="L31" s="45" t="n">
        <x:f>I31*J31*K31*H31</x:f>
        <x:v>33.75</x:v>
      </x:c>
      <x:c r="M31" s="28" t="str">
        <x:v>Observed APC boardings</x:v>
      </x:c>
      <x:c r="N31" s="28" t="str">
        <x:v>https://www.sfmta.com/reports/average-daily-muni-boardings-route-and-month-pre-pandemic-present</x:v>
      </x:c>
      <x:c r="O31" s="28" t="str">
        <x:v>Standard-service repeat-use scenario; exposure tier is synthetic. APC route/day averages do not identify the inspected trip, validator taps, or riders checked.</x:v>
      </x:c>
    </x:row>
    <x:row r="32" ht="31" customHeight="1">
      <x:c r="A32" s="28" t="str">
        <x:v>19 Polk</x:v>
      </x:c>
      <x:c r="B32" s="28" t="str">
        <x:v>Grid</x:v>
      </x:c>
      <x:c r="C32" s="29" t="n">
        <x:v>6800</x:v>
      </x:c>
      <x:c r="D32" s="29" t="n">
        <x:v>4300</x:v>
      </x:c>
      <x:c r="E32" s="29" t="n">
        <x:v>4000</x:v>
      </x:c>
      <x:c r="F32" s="28" t="str">
        <x:v>August 2026</x:v>
      </x:c>
      <x:c r="G32" s="57" t="str">
        <x:v>Repeat-use scenario</x:v>
      </x:c>
      <x:c r="H32" s="49" t="n">
        <x:f>IF(G32="Tourist-heavy scenario",Assumptions!$B$6,Assumptions!$B$5)</x:f>
        <x:v>45</x:v>
      </x:c>
      <x:c r="I32" s="49" t="n">
        <x:f>IF(G32="Tourist-heavy scenario",IF(C32="",Assumptions!$B$10,IF(C32&gt;=10000,Assumptions!$B$10,Assumptions!$B$9)),IF(C32&gt;=20000,Assumptions!$B$7,IF(C32&gt;=10000,Assumptions!$B$8,Assumptions!$B$9)))</x:f>
        <x:v>25</x:v>
      </x:c>
      <x:c r="J32" s="44" t="n">
        <x:f>Assumptions!$B$11</x:f>
        <x:v>0.15</x:v>
      </x:c>
      <x:c r="K32" s="44" t="n">
        <x:f>Assumptions!$B$12</x:f>
        <x:v>0.2</x:v>
      </x:c>
      <x:c r="L32" s="45" t="n">
        <x:f>I32*J32*K32*H32</x:f>
        <x:v>33.75</x:v>
      </x:c>
      <x:c r="M32" s="28" t="str">
        <x:v>Observed APC boardings</x:v>
      </x:c>
      <x:c r="N32" s="28" t="str">
        <x:v>https://www.sfmta.com/reports/average-daily-muni-boardings-route-and-month-pre-pandemic-present</x:v>
      </x:c>
      <x:c r="O32" s="28" t="str">
        <x:v>Standard-service repeat-use scenario; exposure tier is synthetic. APC route/day averages do not identify the inspected trip, validator taps, or riders checked.</x:v>
      </x:c>
    </x:row>
    <x:row r="33" ht="31" customHeight="1">
      <x:c r="A33" s="28" t="str">
        <x:v>9 San Bruno</x:v>
      </x:c>
      <x:c r="B33" s="28" t="str">
        <x:v>Frequent Local</x:v>
      </x:c>
      <x:c r="C33" s="29" t="n">
        <x:v>6200</x:v>
      </x:c>
      <x:c r="D33" s="29" t="n">
        <x:v>12000</x:v>
      </x:c>
      <x:c r="E33" s="29" t="n">
        <x:v>10600</x:v>
      </x:c>
      <x:c r="F33" s="28" t="str">
        <x:v>August 2026</x:v>
      </x:c>
      <x:c r="G33" s="57" t="str">
        <x:v>Repeat-use scenario</x:v>
      </x:c>
      <x:c r="H33" s="49" t="n">
        <x:f>IF(G33="Tourist-heavy scenario",Assumptions!$B$6,Assumptions!$B$5)</x:f>
        <x:v>45</x:v>
      </x:c>
      <x:c r="I33" s="49" t="n">
        <x:f>IF(G33="Tourist-heavy scenario",IF(C33="",Assumptions!$B$10,IF(C33&gt;=10000,Assumptions!$B$10,Assumptions!$B$9)),IF(C33&gt;=20000,Assumptions!$B$7,IF(C33&gt;=10000,Assumptions!$B$8,Assumptions!$B$9)))</x:f>
        <x:v>25</x:v>
      </x:c>
      <x:c r="J33" s="44" t="n">
        <x:f>Assumptions!$B$11</x:f>
        <x:v>0.15</x:v>
      </x:c>
      <x:c r="K33" s="44" t="n">
        <x:f>Assumptions!$B$12</x:f>
        <x:v>0.2</x:v>
      </x:c>
      <x:c r="L33" s="45" t="n">
        <x:f>I33*J33*K33*H33</x:f>
        <x:v>33.75</x:v>
      </x:c>
      <x:c r="M33" s="28" t="str">
        <x:v>Observed APC boardings</x:v>
      </x:c>
      <x:c r="N33" s="28" t="str">
        <x:v>https://www.sfmta.com/reports/average-daily-muni-boardings-route-and-month-pre-pandemic-present</x:v>
      </x:c>
      <x:c r="O33" s="28" t="str">
        <x:v>Standard-service repeat-use scenario; exposure tier is synthetic. APC route/day averages do not identify the inspected trip, validator taps, or riders checked.</x:v>
      </x:c>
    </x:row>
    <x:row r="34" ht="31" customHeight="1">
      <x:c r="A34" s="28" t="str">
        <x:v>27 Bryant</x:v>
      </x:c>
      <x:c r="B34" s="28" t="str">
        <x:v>Grid</x:v>
      </x:c>
      <x:c r="C34" s="29" t="n">
        <x:v>5500</x:v>
      </x:c>
      <x:c r="D34" s="29" t="n">
        <x:v>3900</x:v>
      </x:c>
      <x:c r="E34" s="29" t="n">
        <x:v>3800</x:v>
      </x:c>
      <x:c r="F34" s="28" t="str">
        <x:v>August 2026</x:v>
      </x:c>
      <x:c r="G34" s="57" t="str">
        <x:v>Repeat-use scenario</x:v>
      </x:c>
      <x:c r="H34" s="49" t="n">
        <x:f>IF(G34="Tourist-heavy scenario",Assumptions!$B$6,Assumptions!$B$5)</x:f>
        <x:v>45</x:v>
      </x:c>
      <x:c r="I34" s="49" t="n">
        <x:f>IF(G34="Tourist-heavy scenario",IF(C34="",Assumptions!$B$10,IF(C34&gt;=10000,Assumptions!$B$10,Assumptions!$B$9)),IF(C34&gt;=20000,Assumptions!$B$7,IF(C34&gt;=10000,Assumptions!$B$8,Assumptions!$B$9)))</x:f>
        <x:v>25</x:v>
      </x:c>
      <x:c r="J34" s="44" t="n">
        <x:f>Assumptions!$B$11</x:f>
        <x:v>0.15</x:v>
      </x:c>
      <x:c r="K34" s="44" t="n">
        <x:f>Assumptions!$B$12</x:f>
        <x:v>0.2</x:v>
      </x:c>
      <x:c r="L34" s="45" t="n">
        <x:f>I34*J34*K34*H34</x:f>
        <x:v>33.75</x:v>
      </x:c>
      <x:c r="M34" s="28" t="str">
        <x:v>Observed APC boardings</x:v>
      </x:c>
      <x:c r="N34" s="28" t="str">
        <x:v>https://www.sfmta.com/reports/average-daily-muni-boardings-route-and-month-pre-pandemic-present</x:v>
      </x:c>
      <x:c r="O34" s="28" t="str">
        <x:v>Standard-service repeat-use scenario; exposure tier is synthetic. APC route/day averages do not identify the inspected trip, validator taps, or riders checked.</x:v>
      </x:c>
    </x:row>
    <x:row r="35" ht="31" customHeight="1">
      <x:c r="A35" s="28" t="str">
        <x:v>5 Fulton</x:v>
      </x:c>
      <x:c r="B35" s="28" t="str">
        <x:v>Grid</x:v>
      </x:c>
      <x:c r="C35" s="29" t="n">
        <x:v>5400</x:v>
      </x:c>
      <x:c r="D35" s="29" t="n">
        <x:v>13300</x:v>
      </x:c>
      <x:c r="E35" s="29" t="n">
        <x:v>12500</x:v>
      </x:c>
      <x:c r="F35" s="28" t="str">
        <x:v>August 2026</x:v>
      </x:c>
      <x:c r="G35" s="57" t="str">
        <x:v>Repeat-use scenario</x:v>
      </x:c>
      <x:c r="H35" s="49" t="n">
        <x:f>IF(G35="Tourist-heavy scenario",Assumptions!$B$6,Assumptions!$B$5)</x:f>
        <x:v>45</x:v>
      </x:c>
      <x:c r="I35" s="49" t="n">
        <x:f>IF(G35="Tourist-heavy scenario",IF(C35="",Assumptions!$B$10,IF(C35&gt;=10000,Assumptions!$B$10,Assumptions!$B$9)),IF(C35&gt;=20000,Assumptions!$B$7,IF(C35&gt;=10000,Assumptions!$B$8,Assumptions!$B$9)))</x:f>
        <x:v>25</x:v>
      </x:c>
      <x:c r="J35" s="44" t="n">
        <x:f>Assumptions!$B$11</x:f>
        <x:v>0.15</x:v>
      </x:c>
      <x:c r="K35" s="44" t="n">
        <x:f>Assumptions!$B$12</x:f>
        <x:v>0.2</x:v>
      </x:c>
      <x:c r="L35" s="45" t="n">
        <x:f>I35*J35*K35*H35</x:f>
        <x:v>33.75</x:v>
      </x:c>
      <x:c r="M35" s="28" t="str">
        <x:v>Observed APC boardings</x:v>
      </x:c>
      <x:c r="N35" s="28" t="str">
        <x:v>https://www.sfmta.com/reports/average-daily-muni-boardings-route-and-month-pre-pandemic-present</x:v>
      </x:c>
      <x:c r="O35" s="28" t="str">
        <x:v>Standard-service repeat-use scenario; exposure tier is synthetic. APC route/day averages do not identify the inspected trip, validator taps, or riders checked.</x:v>
      </x:c>
    </x:row>
    <x:row r="36" ht="31" customHeight="1">
      <x:c r="A36" s="28" t="str">
        <x:v>54 Felton</x:v>
      </x:c>
      <x:c r="B36" s="28" t="str">
        <x:v>Grid</x:v>
      </x:c>
      <x:c r="C36" s="29" t="n">
        <x:v>4800</x:v>
      </x:c>
      <x:c r="D36" s="29" t="n">
        <x:v>3600</x:v>
      </x:c>
      <x:c r="E36" s="29" t="n">
        <x:v>3000</x:v>
      </x:c>
      <x:c r="F36" s="28" t="str">
        <x:v>August 2026</x:v>
      </x:c>
      <x:c r="G36" s="57" t="str">
        <x:v>Repeat-use scenario</x:v>
      </x:c>
      <x:c r="H36" s="49" t="n">
        <x:f>IF(G36="Tourist-heavy scenario",Assumptions!$B$6,Assumptions!$B$5)</x:f>
        <x:v>45</x:v>
      </x:c>
      <x:c r="I36" s="49" t="n">
        <x:f>IF(G36="Tourist-heavy scenario",IF(C36="",Assumptions!$B$10,IF(C36&gt;=10000,Assumptions!$B$10,Assumptions!$B$9)),IF(C36&gt;=20000,Assumptions!$B$7,IF(C36&gt;=10000,Assumptions!$B$8,Assumptions!$B$9)))</x:f>
        <x:v>25</x:v>
      </x:c>
      <x:c r="J36" s="44" t="n">
        <x:f>Assumptions!$B$11</x:f>
        <x:v>0.15</x:v>
      </x:c>
      <x:c r="K36" s="44" t="n">
        <x:f>Assumptions!$B$12</x:f>
        <x:v>0.2</x:v>
      </x:c>
      <x:c r="L36" s="45" t="n">
        <x:f>I36*J36*K36*H36</x:f>
        <x:v>33.75</x:v>
      </x:c>
      <x:c r="M36" s="28" t="str">
        <x:v>Observed APC boardings</x:v>
      </x:c>
      <x:c r="N36" s="28" t="str">
        <x:v>https://www.sfmta.com/reports/average-daily-muni-boardings-route-and-month-pre-pandemic-present</x:v>
      </x:c>
      <x:c r="O36" s="28" t="str">
        <x:v>Standard-service repeat-use scenario; exposure tier is synthetic. APC route/day averages do not identify the inspected trip, validator taps, or riders checked.</x:v>
      </x:c>
    </x:row>
    <x:row r="37" ht="31" customHeight="1">
      <x:c r="A37" s="28" t="str">
        <x:v>33 Ashbury/18th</x:v>
      </x:c>
      <x:c r="B37" s="28" t="str">
        <x:v>Grid</x:v>
      </x:c>
      <x:c r="C37" s="29" t="n">
        <x:v>4500</x:v>
      </x:c>
      <x:c r="D37" s="29" t="n">
        <x:v>3800</x:v>
      </x:c>
      <x:c r="E37" s="29" t="n">
        <x:v>3700</x:v>
      </x:c>
      <x:c r="F37" s="28" t="str">
        <x:v>August 2026</x:v>
      </x:c>
      <x:c r="G37" s="57" t="str">
        <x:v>Repeat-use scenario</x:v>
      </x:c>
      <x:c r="H37" s="49" t="n">
        <x:f>IF(G37="Tourist-heavy scenario",Assumptions!$B$6,Assumptions!$B$5)</x:f>
        <x:v>45</x:v>
      </x:c>
      <x:c r="I37" s="49" t="n">
        <x:f>IF(G37="Tourist-heavy scenario",IF(C37="",Assumptions!$B$10,IF(C37&gt;=10000,Assumptions!$B$10,Assumptions!$B$9)),IF(C37&gt;=20000,Assumptions!$B$7,IF(C37&gt;=10000,Assumptions!$B$8,Assumptions!$B$9)))</x:f>
        <x:v>25</x:v>
      </x:c>
      <x:c r="J37" s="44" t="n">
        <x:f>Assumptions!$B$11</x:f>
        <x:v>0.15</x:v>
      </x:c>
      <x:c r="K37" s="44" t="n">
        <x:f>Assumptions!$B$12</x:f>
        <x:v>0.2</x:v>
      </x:c>
      <x:c r="L37" s="45" t="n">
        <x:f>I37*J37*K37*H37</x:f>
        <x:v>33.75</x:v>
      </x:c>
      <x:c r="M37" s="28" t="str">
        <x:v>Observed APC boardings</x:v>
      </x:c>
      <x:c r="N37" s="28" t="str">
        <x:v>https://www.sfmta.com/reports/average-daily-muni-boardings-route-and-month-pre-pandemic-present</x:v>
      </x:c>
      <x:c r="O37" s="28" t="str">
        <x:v>Standard-service repeat-use scenario; exposure tier is synthetic. APC route/day averages do not identify the inspected trip, validator taps, or riders checked.</x:v>
      </x:c>
    </x:row>
    <x:row r="38" ht="31" customHeight="1">
      <x:c r="A38" s="28" t="str">
        <x:v>28R 19th Avenue Rapid</x:v>
      </x:c>
      <x:c r="B38" s="28" t="str">
        <x:v>Rapid Bus</x:v>
      </x:c>
      <x:c r="C38" s="29" t="n">
        <x:v>4200</x:v>
      </x:c>
      <x:c r="D38" s="29"/>
      <x:c r="E38" s="29"/>
      <x:c r="F38" s="28" t="str">
        <x:v>August 2026</x:v>
      </x:c>
      <x:c r="G38" s="57" t="str">
        <x:v>Repeat-use scenario</x:v>
      </x:c>
      <x:c r="H38" s="49" t="n">
        <x:f>IF(G38="Tourist-heavy scenario",Assumptions!$B$6,Assumptions!$B$5)</x:f>
        <x:v>45</x:v>
      </x:c>
      <x:c r="I38" s="49" t="n">
        <x:f>IF(G38="Tourist-heavy scenario",IF(C38="",Assumptions!$B$10,IF(C38&gt;=10000,Assumptions!$B$10,Assumptions!$B$9)),IF(C38&gt;=20000,Assumptions!$B$7,IF(C38&gt;=10000,Assumptions!$B$8,Assumptions!$B$9)))</x:f>
        <x:v>25</x:v>
      </x:c>
      <x:c r="J38" s="44" t="n">
        <x:f>Assumptions!$B$11</x:f>
        <x:v>0.15</x:v>
      </x:c>
      <x:c r="K38" s="44" t="n">
        <x:f>Assumptions!$B$12</x:f>
        <x:v>0.2</x:v>
      </x:c>
      <x:c r="L38" s="45" t="n">
        <x:f>I38*J38*K38*H38</x:f>
        <x:v>33.75</x:v>
      </x:c>
      <x:c r="M38" s="28" t="str">
        <x:v>Observed APC boardings</x:v>
      </x:c>
      <x:c r="N38" s="28" t="str">
        <x:v>https://www.sfmta.com/reports/average-daily-muni-boardings-route-and-month-pre-pandemic-present</x:v>
      </x:c>
      <x:c r="O38" s="28" t="str">
        <x:v>Standard-service repeat-use scenario; exposure tier is synthetic. APC route/day averages do not identify the inspected trip, validator taps, or riders checked.</x:v>
      </x:c>
    </x:row>
    <x:row r="39" ht="31" customHeight="1">
      <x:c r="A39" s="28" t="str">
        <x:v>8BX Bayshore B Express</x:v>
      </x:c>
      <x:c r="B39" s="28" t="str">
        <x:v>Specialized</x:v>
      </x:c>
      <x:c r="C39" s="29" t="n">
        <x:v>4000</x:v>
      </x:c>
      <x:c r="D39" s="29"/>
      <x:c r="E39" s="29"/>
      <x:c r="F39" s="28" t="str">
        <x:v>August 2026</x:v>
      </x:c>
      <x:c r="G39" s="57" t="str">
        <x:v>Repeat-use scenario</x:v>
      </x:c>
      <x:c r="H39" s="49" t="n">
        <x:f>IF(G39="Tourist-heavy scenario",Assumptions!$B$6,Assumptions!$B$5)</x:f>
        <x:v>45</x:v>
      </x:c>
      <x:c r="I39" s="49" t="n">
        <x:f>IF(G39="Tourist-heavy scenario",IF(C39="",Assumptions!$B$10,IF(C39&gt;=10000,Assumptions!$B$10,Assumptions!$B$9)),IF(C39&gt;=20000,Assumptions!$B$7,IF(C39&gt;=10000,Assumptions!$B$8,Assumptions!$B$9)))</x:f>
        <x:v>25</x:v>
      </x:c>
      <x:c r="J39" s="44" t="n">
        <x:f>Assumptions!$B$11</x:f>
        <x:v>0.15</x:v>
      </x:c>
      <x:c r="K39" s="44" t="n">
        <x:f>Assumptions!$B$12</x:f>
        <x:v>0.2</x:v>
      </x:c>
      <x:c r="L39" s="45" t="n">
        <x:f>I39*J39*K39*H39</x:f>
        <x:v>33.75</x:v>
      </x:c>
      <x:c r="M39" s="28" t="str">
        <x:v>Observed APC boardings</x:v>
      </x:c>
      <x:c r="N39" s="28" t="str">
        <x:v>https://www.sfmta.com/reports/average-daily-muni-boardings-route-and-month-pre-pandemic-present</x:v>
      </x:c>
      <x:c r="O39" s="28" t="str">
        <x:v>Standard-service repeat-use scenario; exposure tier is synthetic. APC route/day averages do not identify the inspected trip, validator taps, or riders checked.</x:v>
      </x:c>
    </x:row>
    <x:row r="40" ht="31" customHeight="1">
      <x:c r="A40" s="28" t="str">
        <x:v>15 Bayview Hunters Point Express</x:v>
      </x:c>
      <x:c r="B40" s="28" t="str">
        <x:v>Specialized</x:v>
      </x:c>
      <x:c r="C40" s="29" t="n">
        <x:v>3900</x:v>
      </x:c>
      <x:c r="D40" s="29" t="n">
        <x:v>2500</x:v>
      </x:c>
      <x:c r="E40" s="29" t="n">
        <x:v>2600</x:v>
      </x:c>
      <x:c r="F40" s="28" t="str">
        <x:v>August 2026</x:v>
      </x:c>
      <x:c r="G40" s="57" t="str">
        <x:v>Repeat-use scenario</x:v>
      </x:c>
      <x:c r="H40" s="49" t="n">
        <x:f>IF(G40="Tourist-heavy scenario",Assumptions!$B$6,Assumptions!$B$5)</x:f>
        <x:v>45</x:v>
      </x:c>
      <x:c r="I40" s="49" t="n">
        <x:f>IF(G40="Tourist-heavy scenario",IF(C40="",Assumptions!$B$10,IF(C40&gt;=10000,Assumptions!$B$10,Assumptions!$B$9)),IF(C40&gt;=20000,Assumptions!$B$7,IF(C40&gt;=10000,Assumptions!$B$8,Assumptions!$B$9)))</x:f>
        <x:v>25</x:v>
      </x:c>
      <x:c r="J40" s="44" t="n">
        <x:f>Assumptions!$B$11</x:f>
        <x:v>0.15</x:v>
      </x:c>
      <x:c r="K40" s="44" t="n">
        <x:f>Assumptions!$B$12</x:f>
        <x:v>0.2</x:v>
      </x:c>
      <x:c r="L40" s="45" t="n">
        <x:f>I40*J40*K40*H40</x:f>
        <x:v>33.75</x:v>
      </x:c>
      <x:c r="M40" s="28" t="str">
        <x:v>Observed APC boardings</x:v>
      </x:c>
      <x:c r="N40" s="28" t="str">
        <x:v>https://www.sfmta.com/reports/average-daily-muni-boardings-route-and-month-pre-pandemic-present</x:v>
      </x:c>
      <x:c r="O40" s="28" t="str">
        <x:v>Standard-service repeat-use scenario; exposure tier is synthetic. APC route/day averages do not identify the inspected trip, validator taps, or riders checked.</x:v>
      </x:c>
    </x:row>
    <x:row r="41" ht="31" customHeight="1">
      <x:c r="A41" s="28" t="str">
        <x:v>31 Balboa</x:v>
      </x:c>
      <x:c r="B41" s="28" t="str">
        <x:v>Grid</x:v>
      </x:c>
      <x:c r="C41" s="29" t="n">
        <x:v>3900</x:v>
      </x:c>
      <x:c r="D41" s="29" t="n">
        <x:v>3300</x:v>
      </x:c>
      <x:c r="E41" s="29" t="n">
        <x:v>3000</x:v>
      </x:c>
      <x:c r="F41" s="28" t="str">
        <x:v>August 2026</x:v>
      </x:c>
      <x:c r="G41" s="57" t="str">
        <x:v>Repeat-use scenario</x:v>
      </x:c>
      <x:c r="H41" s="49" t="n">
        <x:f>IF(G41="Tourist-heavy scenario",Assumptions!$B$6,Assumptions!$B$5)</x:f>
        <x:v>45</x:v>
      </x:c>
      <x:c r="I41" s="49" t="n">
        <x:f>IF(G41="Tourist-heavy scenario",IF(C41="",Assumptions!$B$10,IF(C41&gt;=10000,Assumptions!$B$10,Assumptions!$B$9)),IF(C41&gt;=20000,Assumptions!$B$7,IF(C41&gt;=10000,Assumptions!$B$8,Assumptions!$B$9)))</x:f>
        <x:v>25</x:v>
      </x:c>
      <x:c r="J41" s="44" t="n">
        <x:f>Assumptions!$B$11</x:f>
        <x:v>0.15</x:v>
      </x:c>
      <x:c r="K41" s="44" t="n">
        <x:f>Assumptions!$B$12</x:f>
        <x:v>0.2</x:v>
      </x:c>
      <x:c r="L41" s="45" t="n">
        <x:f>I41*J41*K41*H41</x:f>
        <x:v>33.75</x:v>
      </x:c>
      <x:c r="M41" s="28" t="str">
        <x:v>Observed APC boardings</x:v>
      </x:c>
      <x:c r="N41" s="28" t="str">
        <x:v>https://www.sfmta.com/reports/average-daily-muni-boardings-route-and-month-pre-pandemic-present</x:v>
      </x:c>
      <x:c r="O41" s="28" t="str">
        <x:v>Standard-service repeat-use scenario; exposure tier is synthetic. APC route/day averages do not identify the inspected trip, validator taps, or riders checked.</x:v>
      </x:c>
    </x:row>
    <x:row r="42" ht="31" customHeight="1">
      <x:c r="A42" s="28" t="str">
        <x:v>8AX Bayshore A Express</x:v>
      </x:c>
      <x:c r="B42" s="28" t="str">
        <x:v>Specialized</x:v>
      </x:c>
      <x:c r="C42" s="29" t="n">
        <x:v>3700</x:v>
      </x:c>
      <x:c r="D42" s="29"/>
      <x:c r="E42" s="29"/>
      <x:c r="F42" s="28" t="str">
        <x:v>August 2026</x:v>
      </x:c>
      <x:c r="G42" s="57" t="str">
        <x:v>Repeat-use scenario</x:v>
      </x:c>
      <x:c r="H42" s="49" t="n">
        <x:f>IF(G42="Tourist-heavy scenario",Assumptions!$B$6,Assumptions!$B$5)</x:f>
        <x:v>45</x:v>
      </x:c>
      <x:c r="I42" s="49" t="n">
        <x:f>IF(G42="Tourist-heavy scenario",IF(C42="",Assumptions!$B$10,IF(C42&gt;=10000,Assumptions!$B$10,Assumptions!$B$9)),IF(C42&gt;=20000,Assumptions!$B$7,IF(C42&gt;=10000,Assumptions!$B$8,Assumptions!$B$9)))</x:f>
        <x:v>25</x:v>
      </x:c>
      <x:c r="J42" s="44" t="n">
        <x:f>Assumptions!$B$11</x:f>
        <x:v>0.15</x:v>
      </x:c>
      <x:c r="K42" s="44" t="n">
        <x:f>Assumptions!$B$12</x:f>
        <x:v>0.2</x:v>
      </x:c>
      <x:c r="L42" s="45" t="n">
        <x:f>I42*J42*K42*H42</x:f>
        <x:v>33.75</x:v>
      </x:c>
      <x:c r="M42" s="28" t="str">
        <x:v>Observed APC boardings</x:v>
      </x:c>
      <x:c r="N42" s="28" t="str">
        <x:v>https://www.sfmta.com/reports/average-daily-muni-boardings-route-and-month-pre-pandemic-present</x:v>
      </x:c>
      <x:c r="O42" s="28" t="str">
        <x:v>Standard-service repeat-use scenario; exposure tier is synthetic. APC route/day averages do not identify the inspected trip, validator taps, or riders checked.</x:v>
      </x:c>
    </x:row>
    <x:row r="43" ht="31" customHeight="1">
      <x:c r="A43" s="28" t="str">
        <x:v>18 46th Avenue</x:v>
      </x:c>
      <x:c r="B43" s="28" t="str">
        <x:v>Grid</x:v>
      </x:c>
      <x:c r="C43" s="29" t="n">
        <x:v>2900</x:v>
      </x:c>
      <x:c r="D43" s="29" t="n">
        <x:v>2700</x:v>
      </x:c>
      <x:c r="E43" s="29" t="n">
        <x:v>2300</x:v>
      </x:c>
      <x:c r="F43" s="28" t="str">
        <x:v>August 2026</x:v>
      </x:c>
      <x:c r="G43" s="57" t="str">
        <x:v>Repeat-use scenario</x:v>
      </x:c>
      <x:c r="H43" s="49" t="n">
        <x:f>IF(G43="Tourist-heavy scenario",Assumptions!$B$6,Assumptions!$B$5)</x:f>
        <x:v>45</x:v>
      </x:c>
      <x:c r="I43" s="49" t="n">
        <x:f>IF(G43="Tourist-heavy scenario",IF(C43="",Assumptions!$B$10,IF(C43&gt;=10000,Assumptions!$B$10,Assumptions!$B$9)),IF(C43&gt;=20000,Assumptions!$B$7,IF(C43&gt;=10000,Assumptions!$B$8,Assumptions!$B$9)))</x:f>
        <x:v>25</x:v>
      </x:c>
      <x:c r="J43" s="44" t="n">
        <x:f>Assumptions!$B$11</x:f>
        <x:v>0.15</x:v>
      </x:c>
      <x:c r="K43" s="44" t="n">
        <x:f>Assumptions!$B$12</x:f>
        <x:v>0.2</x:v>
      </x:c>
      <x:c r="L43" s="45" t="n">
        <x:f>I43*J43*K43*H43</x:f>
        <x:v>33.75</x:v>
      </x:c>
      <x:c r="M43" s="28" t="str">
        <x:v>Observed APC boardings</x:v>
      </x:c>
      <x:c r="N43" s="28" t="str">
        <x:v>https://www.sfmta.com/reports/average-daily-muni-boardings-route-and-month-pre-pandemic-present</x:v>
      </x:c>
      <x:c r="O43" s="28" t="str">
        <x:v>Standard-service repeat-use scenario; exposure tier is synthetic. APC route/day averages do not identify the inspected trip, validator taps, or riders checked.</x:v>
      </x:c>
    </x:row>
    <x:row r="44" ht="31" customHeight="1">
      <x:c r="A44" s="28" t="str">
        <x:v>2 Sutter</x:v>
      </x:c>
      <x:c r="B44" s="28" t="str">
        <x:v>Grid</x:v>
      </x:c>
      <x:c r="C44" s="29" t="n">
        <x:v>2800</x:v>
      </x:c>
      <x:c r="D44" s="29" t="n">
        <x:v>2600</x:v>
      </x:c>
      <x:c r="E44" s="29" t="n">
        <x:v>2000</x:v>
      </x:c>
      <x:c r="F44" s="28" t="str">
        <x:v>August 2026</x:v>
      </x:c>
      <x:c r="G44" s="57" t="str">
        <x:v>Repeat-use scenario</x:v>
      </x:c>
      <x:c r="H44" s="49" t="n">
        <x:f>IF(G44="Tourist-heavy scenario",Assumptions!$B$6,Assumptions!$B$5)</x:f>
        <x:v>45</x:v>
      </x:c>
      <x:c r="I44" s="49" t="n">
        <x:f>IF(G44="Tourist-heavy scenario",IF(C44="",Assumptions!$B$10,IF(C44&gt;=10000,Assumptions!$B$10,Assumptions!$B$9)),IF(C44&gt;=20000,Assumptions!$B$7,IF(C44&gt;=10000,Assumptions!$B$8,Assumptions!$B$9)))</x:f>
        <x:v>25</x:v>
      </x:c>
      <x:c r="J44" s="44" t="n">
        <x:f>Assumptions!$B$11</x:f>
        <x:v>0.15</x:v>
      </x:c>
      <x:c r="K44" s="44" t="n">
        <x:f>Assumptions!$B$12</x:f>
        <x:v>0.2</x:v>
      </x:c>
      <x:c r="L44" s="45" t="n">
        <x:f>I44*J44*K44*H44</x:f>
        <x:v>33.75</x:v>
      </x:c>
      <x:c r="M44" s="28" t="str">
        <x:v>Observed APC boardings</x:v>
      </x:c>
      <x:c r="N44" s="28" t="str">
        <x:v>https://www.sfmta.com/reports/average-daily-muni-boardings-route-and-month-pre-pandemic-present</x:v>
      </x:c>
      <x:c r="O44" s="28" t="str">
        <x:v>Standard-service repeat-use scenario; exposure tier is synthetic. APC route/day averages do not identify the inspected trip, validator taps, or riders checked.</x:v>
      </x:c>
    </x:row>
    <x:row r="45" ht="31" customHeight="1">
      <x:c r="A45" s="28" t="str">
        <x:v>6 Haight/Parnassus</x:v>
      </x:c>
      <x:c r="B45" s="28" t="str">
        <x:v>Grid</x:v>
      </x:c>
      <x:c r="C45" s="29" t="n">
        <x:v>2700</x:v>
      </x:c>
      <x:c r="D45" s="29" t="n">
        <x:v>2000</x:v>
      </x:c>
      <x:c r="E45" s="29" t="n">
        <x:v>1900</x:v>
      </x:c>
      <x:c r="F45" s="28" t="str">
        <x:v>August 2026</x:v>
      </x:c>
      <x:c r="G45" s="57" t="str">
        <x:v>Repeat-use scenario</x:v>
      </x:c>
      <x:c r="H45" s="49" t="n">
        <x:f>IF(G45="Tourist-heavy scenario",Assumptions!$B$6,Assumptions!$B$5)</x:f>
        <x:v>45</x:v>
      </x:c>
      <x:c r="I45" s="49" t="n">
        <x:f>IF(G45="Tourist-heavy scenario",IF(C45="",Assumptions!$B$10,IF(C45&gt;=10000,Assumptions!$B$10,Assumptions!$B$9)),IF(C45&gt;=20000,Assumptions!$B$7,IF(C45&gt;=10000,Assumptions!$B$8,Assumptions!$B$9)))</x:f>
        <x:v>25</x:v>
      </x:c>
      <x:c r="J45" s="44" t="n">
        <x:f>Assumptions!$B$11</x:f>
        <x:v>0.15</x:v>
      </x:c>
      <x:c r="K45" s="44" t="n">
        <x:f>Assumptions!$B$12</x:f>
        <x:v>0.2</x:v>
      </x:c>
      <x:c r="L45" s="45" t="n">
        <x:f>I45*J45*K45*H45</x:f>
        <x:v>33.75</x:v>
      </x:c>
      <x:c r="M45" s="28" t="str">
        <x:v>Observed APC boardings</x:v>
      </x:c>
      <x:c r="N45" s="28" t="str">
        <x:v>https://www.sfmta.com/reports/average-daily-muni-boardings-route-and-month-pre-pandemic-present</x:v>
      </x:c>
      <x:c r="O45" s="28" t="str">
        <x:v>Standard-service repeat-use scenario; exposure tier is synthetic. APC route/day averages do not identify the inspected trip, validator taps, or riders checked.</x:v>
      </x:c>
    </x:row>
    <x:row r="46" ht="31" customHeight="1">
      <x:c r="A46" s="28" t="str">
        <x:v>23 Monterey</x:v>
      </x:c>
      <x:c r="B46" s="28" t="str">
        <x:v>Grid</x:v>
      </x:c>
      <x:c r="C46" s="29" t="n">
        <x:v>2500</x:v>
      </x:c>
      <x:c r="D46" s="29" t="n">
        <x:v>1700</x:v>
      </x:c>
      <x:c r="E46" s="29" t="n">
        <x:v>1400</x:v>
      </x:c>
      <x:c r="F46" s="28" t="str">
        <x:v>August 2026</x:v>
      </x:c>
      <x:c r="G46" s="57" t="str">
        <x:v>Repeat-use scenario</x:v>
      </x:c>
      <x:c r="H46" s="49" t="n">
        <x:f>IF(G46="Tourist-heavy scenario",Assumptions!$B$6,Assumptions!$B$5)</x:f>
        <x:v>45</x:v>
      </x:c>
      <x:c r="I46" s="49" t="n">
        <x:f>IF(G46="Tourist-heavy scenario",IF(C46="",Assumptions!$B$10,IF(C46&gt;=10000,Assumptions!$B$10,Assumptions!$B$9)),IF(C46&gt;=20000,Assumptions!$B$7,IF(C46&gt;=10000,Assumptions!$B$8,Assumptions!$B$9)))</x:f>
        <x:v>25</x:v>
      </x:c>
      <x:c r="J46" s="44" t="n">
        <x:f>Assumptions!$B$11</x:f>
        <x:v>0.15</x:v>
      </x:c>
      <x:c r="K46" s="44" t="n">
        <x:f>Assumptions!$B$12</x:f>
        <x:v>0.2</x:v>
      </x:c>
      <x:c r="L46" s="45" t="n">
        <x:f>I46*J46*K46*H46</x:f>
        <x:v>33.75</x:v>
      </x:c>
      <x:c r="M46" s="28" t="str">
        <x:v>Observed APC boardings</x:v>
      </x:c>
      <x:c r="N46" s="28" t="str">
        <x:v>https://www.sfmta.com/reports/average-daily-muni-boardings-route-and-month-pre-pandemic-present</x:v>
      </x:c>
      <x:c r="O46" s="28" t="str">
        <x:v>Standard-service repeat-use scenario; exposure tier is synthetic. APC route/day averages do not identify the inspected trip, validator taps, or riders checked.</x:v>
      </x:c>
    </x:row>
    <x:row r="47" ht="31" customHeight="1">
      <x:c r="A47" s="28" t="str">
        <x:v>55 Dogpatch</x:v>
      </x:c>
      <x:c r="B47" s="28" t="str">
        <x:v>Connector</x:v>
      </x:c>
      <x:c r="C47" s="29" t="n">
        <x:v>1800</x:v>
      </x:c>
      <x:c r="D47" s="29" t="n">
        <x:v>1400</x:v>
      </x:c>
      <x:c r="E47" s="29" t="n">
        <x:v>1000</x:v>
      </x:c>
      <x:c r="F47" s="28" t="str">
        <x:v>August 2026</x:v>
      </x:c>
      <x:c r="G47" s="57" t="str">
        <x:v>Repeat-use scenario</x:v>
      </x:c>
      <x:c r="H47" s="49" t="n">
        <x:f>IF(G47="Tourist-heavy scenario",Assumptions!$B$6,Assumptions!$B$5)</x:f>
        <x:v>45</x:v>
      </x:c>
      <x:c r="I47" s="49" t="n">
        <x:f>IF(G47="Tourist-heavy scenario",IF(C47="",Assumptions!$B$10,IF(C47&gt;=10000,Assumptions!$B$10,Assumptions!$B$9)),IF(C47&gt;=20000,Assumptions!$B$7,IF(C47&gt;=10000,Assumptions!$B$8,Assumptions!$B$9)))</x:f>
        <x:v>25</x:v>
      </x:c>
      <x:c r="J47" s="44" t="n">
        <x:f>Assumptions!$B$11</x:f>
        <x:v>0.15</x:v>
      </x:c>
      <x:c r="K47" s="44" t="n">
        <x:f>Assumptions!$B$12</x:f>
        <x:v>0.2</x:v>
      </x:c>
      <x:c r="L47" s="45" t="n">
        <x:f>I47*J47*K47*H47</x:f>
        <x:v>33.75</x:v>
      </x:c>
      <x:c r="M47" s="28" t="str">
        <x:v>Observed APC boardings</x:v>
      </x:c>
      <x:c r="N47" s="28" t="str">
        <x:v>https://www.sfmta.com/reports/average-daily-muni-boardings-route-and-month-pre-pandemic-present</x:v>
      </x:c>
      <x:c r="O47" s="28" t="str">
        <x:v>Standard-service repeat-use scenario; exposure tier is synthetic. APC route/day averages do not identify the inspected trip, validator taps, or riders checked.</x:v>
      </x:c>
    </x:row>
    <x:row r="48" ht="31" customHeight="1">
      <x:c r="A48" s="28" t="str">
        <x:v>25 Treasure Island</x:v>
      </x:c>
      <x:c r="B48" s="28" t="str">
        <x:v>Connector</x:v>
      </x:c>
      <x:c r="C48" s="29" t="n">
        <x:v>1700</x:v>
      </x:c>
      <x:c r="D48" s="29" t="n">
        <x:v>1200</x:v>
      </x:c>
      <x:c r="E48" s="29" t="n">
        <x:v>1100</x:v>
      </x:c>
      <x:c r="F48" s="28" t="str">
        <x:v>August 2026</x:v>
      </x:c>
      <x:c r="G48" s="57" t="str">
        <x:v>Repeat-use scenario</x:v>
      </x:c>
      <x:c r="H48" s="49" t="n">
        <x:f>IF(G48="Tourist-heavy scenario",Assumptions!$B$6,Assumptions!$B$5)</x:f>
        <x:v>45</x:v>
      </x:c>
      <x:c r="I48" s="49" t="n">
        <x:f>IF(G48="Tourist-heavy scenario",IF(C48="",Assumptions!$B$10,IF(C48&gt;=10000,Assumptions!$B$10,Assumptions!$B$9)),IF(C48&gt;=20000,Assumptions!$B$7,IF(C48&gt;=10000,Assumptions!$B$8,Assumptions!$B$9)))</x:f>
        <x:v>25</x:v>
      </x:c>
      <x:c r="J48" s="44" t="n">
        <x:f>Assumptions!$B$11</x:f>
        <x:v>0.15</x:v>
      </x:c>
      <x:c r="K48" s="44" t="n">
        <x:f>Assumptions!$B$12</x:f>
        <x:v>0.2</x:v>
      </x:c>
      <x:c r="L48" s="45" t="n">
        <x:f>I48*J48*K48*H48</x:f>
        <x:v>33.75</x:v>
      </x:c>
      <x:c r="M48" s="28" t="str">
        <x:v>Observed APC boardings</x:v>
      </x:c>
      <x:c r="N48" s="28" t="str">
        <x:v>https://www.sfmta.com/reports/average-daily-muni-boardings-route-and-month-pre-pandemic-present</x:v>
      </x:c>
      <x:c r="O48" s="28" t="str">
        <x:v>Standard-service repeat-use scenario; exposure tier is synthetic. APC route/day averages do not identify the inspected trip, validator taps, or riders checked.</x:v>
      </x:c>
    </x:row>
    <x:row r="49" ht="31" customHeight="1">
      <x:c r="A49" s="28" t="str">
        <x:v>52 Excelsior</x:v>
      </x:c>
      <x:c r="B49" s="28" t="str">
        <x:v>Connector</x:v>
      </x:c>
      <x:c r="C49" s="29" t="n">
        <x:v>1700</x:v>
      </x:c>
      <x:c r="D49" s="29" t="n">
        <x:v>800</x:v>
      </x:c>
      <x:c r="E49" s="29" t="n">
        <x:v>700</x:v>
      </x:c>
      <x:c r="F49" s="28" t="str">
        <x:v>August 2026</x:v>
      </x:c>
      <x:c r="G49" s="57" t="str">
        <x:v>Repeat-use scenario</x:v>
      </x:c>
      <x:c r="H49" s="49" t="n">
        <x:f>IF(G49="Tourist-heavy scenario",Assumptions!$B$6,Assumptions!$B$5)</x:f>
        <x:v>45</x:v>
      </x:c>
      <x:c r="I49" s="49" t="n">
        <x:f>IF(G49="Tourist-heavy scenario",IF(C49="",Assumptions!$B$10,IF(C49&gt;=10000,Assumptions!$B$10,Assumptions!$B$9)),IF(C49&gt;=20000,Assumptions!$B$7,IF(C49&gt;=10000,Assumptions!$B$8,Assumptions!$B$9)))</x:f>
        <x:v>25</x:v>
      </x:c>
      <x:c r="J49" s="44" t="n">
        <x:f>Assumptions!$B$11</x:f>
        <x:v>0.15</x:v>
      </x:c>
      <x:c r="K49" s="44" t="n">
        <x:f>Assumptions!$B$12</x:f>
        <x:v>0.2</x:v>
      </x:c>
      <x:c r="L49" s="45" t="n">
        <x:f>I49*J49*K49*H49</x:f>
        <x:v>33.75</x:v>
      </x:c>
      <x:c r="M49" s="28" t="str">
        <x:v>Observed APC boardings</x:v>
      </x:c>
      <x:c r="N49" s="28" t="str">
        <x:v>https://www.sfmta.com/reports/average-daily-muni-boardings-route-and-month-pre-pandemic-present</x:v>
      </x:c>
      <x:c r="O49" s="28" t="str">
        <x:v>Standard-service repeat-use scenario; exposure tier is synthetic. APC route/day averages do not identify the inspected trip, validator taps, or riders checked.</x:v>
      </x:c>
    </x:row>
    <x:row r="50" ht="31" customHeight="1">
      <x:c r="A50" s="28" t="str">
        <x:v>57 Parkmerced</x:v>
      </x:c>
      <x:c r="B50" s="28" t="str">
        <x:v>Connector</x:v>
      </x:c>
      <x:c r="C50" s="29" t="n">
        <x:v>1600</x:v>
      </x:c>
      <x:c r="D50" s="29" t="n">
        <x:v>1100</x:v>
      </x:c>
      <x:c r="E50" s="29" t="n">
        <x:v>1100</x:v>
      </x:c>
      <x:c r="F50" s="28" t="str">
        <x:v>August 2026</x:v>
      </x:c>
      <x:c r="G50" s="57" t="str">
        <x:v>Repeat-use scenario</x:v>
      </x:c>
      <x:c r="H50" s="49" t="n">
        <x:f>IF(G50="Tourist-heavy scenario",Assumptions!$B$6,Assumptions!$B$5)</x:f>
        <x:v>45</x:v>
      </x:c>
      <x:c r="I50" s="49" t="n">
        <x:f>IF(G50="Tourist-heavy scenario",IF(C50="",Assumptions!$B$10,IF(C50&gt;=10000,Assumptions!$B$10,Assumptions!$B$9)),IF(C50&gt;=20000,Assumptions!$B$7,IF(C50&gt;=10000,Assumptions!$B$8,Assumptions!$B$9)))</x:f>
        <x:v>25</x:v>
      </x:c>
      <x:c r="J50" s="44" t="n">
        <x:f>Assumptions!$B$11</x:f>
        <x:v>0.15</x:v>
      </x:c>
      <x:c r="K50" s="44" t="n">
        <x:f>Assumptions!$B$12</x:f>
        <x:v>0.2</x:v>
      </x:c>
      <x:c r="L50" s="45" t="n">
        <x:f>I50*J50*K50*H50</x:f>
        <x:v>33.75</x:v>
      </x:c>
      <x:c r="M50" s="28" t="str">
        <x:v>Observed APC boardings</x:v>
      </x:c>
      <x:c r="N50" s="28" t="str">
        <x:v>https://www.sfmta.com/reports/average-daily-muni-boardings-route-and-month-pre-pandemic-present</x:v>
      </x:c>
      <x:c r="O50" s="28" t="str">
        <x:v>Standard-service repeat-use scenario; exposure tier is synthetic. APC route/day averages do not identify the inspected trip, validator taps, or riders checked.</x:v>
      </x:c>
    </x:row>
    <x:row r="51" ht="31" customHeight="1">
      <x:c r="A51" s="28" t="str">
        <x:v>37 Corbett</x:v>
      </x:c>
      <x:c r="B51" s="28" t="str">
        <x:v>Connector</x:v>
      </x:c>
      <x:c r="C51" s="29" t="n">
        <x:v>1400</x:v>
      </x:c>
      <x:c r="D51" s="29" t="n">
        <x:v>900</x:v>
      </x:c>
      <x:c r="E51" s="29" t="n">
        <x:v>700</x:v>
      </x:c>
      <x:c r="F51" s="28" t="str">
        <x:v>August 2026</x:v>
      </x:c>
      <x:c r="G51" s="57" t="str">
        <x:v>Repeat-use scenario</x:v>
      </x:c>
      <x:c r="H51" s="49" t="n">
        <x:f>IF(G51="Tourist-heavy scenario",Assumptions!$B$6,Assumptions!$B$5)</x:f>
        <x:v>45</x:v>
      </x:c>
      <x:c r="I51" s="49" t="n">
        <x:f>IF(G51="Tourist-heavy scenario",IF(C51="",Assumptions!$B$10,IF(C51&gt;=10000,Assumptions!$B$10,Assumptions!$B$9)),IF(C51&gt;=20000,Assumptions!$B$7,IF(C51&gt;=10000,Assumptions!$B$8,Assumptions!$B$9)))</x:f>
        <x:v>25</x:v>
      </x:c>
      <x:c r="J51" s="44" t="n">
        <x:f>Assumptions!$B$11</x:f>
        <x:v>0.15</x:v>
      </x:c>
      <x:c r="K51" s="44" t="n">
        <x:f>Assumptions!$B$12</x:f>
        <x:v>0.2</x:v>
      </x:c>
      <x:c r="L51" s="45" t="n">
        <x:f>I51*J51*K51*H51</x:f>
        <x:v>33.75</x:v>
      </x:c>
      <x:c r="M51" s="28" t="str">
        <x:v>Observed APC boardings</x:v>
      </x:c>
      <x:c r="N51" s="28" t="str">
        <x:v>https://www.sfmta.com/reports/average-daily-muni-boardings-route-and-month-pre-pandemic-present</x:v>
      </x:c>
      <x:c r="O51" s="28" t="str">
        <x:v>Standard-service repeat-use scenario; exposure tier is synthetic. APC route/day averages do not identify the inspected trip, validator taps, or riders checked.</x:v>
      </x:c>
    </x:row>
    <x:row r="52" ht="31" customHeight="1">
      <x:c r="A52" s="28" t="str">
        <x:v>67 Bernal Heights</x:v>
      </x:c>
      <x:c r="B52" s="28" t="str">
        <x:v>Connector</x:v>
      </x:c>
      <x:c r="C52" s="29" t="n">
        <x:v>900</x:v>
      </x:c>
      <x:c r="D52" s="29" t="n">
        <x:v>800</x:v>
      </x:c>
      <x:c r="E52" s="29" t="n">
        <x:v>700</x:v>
      </x:c>
      <x:c r="F52" s="28" t="str">
        <x:v>August 2026</x:v>
      </x:c>
      <x:c r="G52" s="57" t="str">
        <x:v>Repeat-use scenario</x:v>
      </x:c>
      <x:c r="H52" s="49" t="n">
        <x:f>IF(G52="Tourist-heavy scenario",Assumptions!$B$6,Assumptions!$B$5)</x:f>
        <x:v>45</x:v>
      </x:c>
      <x:c r="I52" s="49" t="n">
        <x:f>IF(G52="Tourist-heavy scenario",IF(C52="",Assumptions!$B$10,IF(C52&gt;=10000,Assumptions!$B$10,Assumptions!$B$9)),IF(C52&gt;=20000,Assumptions!$B$7,IF(C52&gt;=10000,Assumptions!$B$8,Assumptions!$B$9)))</x:f>
        <x:v>25</x:v>
      </x:c>
      <x:c r="J52" s="44" t="n">
        <x:f>Assumptions!$B$11</x:f>
        <x:v>0.15</x:v>
      </x:c>
      <x:c r="K52" s="44" t="n">
        <x:f>Assumptions!$B$12</x:f>
        <x:v>0.2</x:v>
      </x:c>
      <x:c r="L52" s="45" t="n">
        <x:f>I52*J52*K52*H52</x:f>
        <x:v>33.75</x:v>
      </x:c>
      <x:c r="M52" s="28" t="str">
        <x:v>Observed APC boardings</x:v>
      </x:c>
      <x:c r="N52" s="28" t="str">
        <x:v>https://www.sfmta.com/reports/average-daily-muni-boardings-route-and-month-pre-pandemic-present</x:v>
      </x:c>
      <x:c r="O52" s="28" t="str">
        <x:v>Standard-service repeat-use scenario; exposure tier is synthetic. APC route/day averages do not identify the inspected trip, validator taps, or riders checked.</x:v>
      </x:c>
    </x:row>
    <x:row r="53" ht="31" customHeight="1">
      <x:c r="A53" s="28" t="str">
        <x:v>36 Teresita</x:v>
      </x:c>
      <x:c r="B53" s="28" t="str">
        <x:v>Connector</x:v>
      </x:c>
      <x:c r="C53" s="29" t="n">
        <x:v>800</x:v>
      </x:c>
      <x:c r="D53" s="29" t="n">
        <x:v>600</x:v>
      </x:c>
      <x:c r="E53" s="29" t="n">
        <x:v>400</x:v>
      </x:c>
      <x:c r="F53" s="28" t="str">
        <x:v>August 2026</x:v>
      </x:c>
      <x:c r="G53" s="57" t="str">
        <x:v>Repeat-use scenario</x:v>
      </x:c>
      <x:c r="H53" s="49" t="n">
        <x:f>IF(G53="Tourist-heavy scenario",Assumptions!$B$6,Assumptions!$B$5)</x:f>
        <x:v>45</x:v>
      </x:c>
      <x:c r="I53" s="49" t="n">
        <x:f>IF(G53="Tourist-heavy scenario",IF(C53="",Assumptions!$B$10,IF(C53&gt;=10000,Assumptions!$B$10,Assumptions!$B$9)),IF(C53&gt;=20000,Assumptions!$B$7,IF(C53&gt;=10000,Assumptions!$B$8,Assumptions!$B$9)))</x:f>
        <x:v>25</x:v>
      </x:c>
      <x:c r="J53" s="44" t="n">
        <x:f>Assumptions!$B$11</x:f>
        <x:v>0.15</x:v>
      </x:c>
      <x:c r="K53" s="44" t="n">
        <x:f>Assumptions!$B$12</x:f>
        <x:v>0.2</x:v>
      </x:c>
      <x:c r="L53" s="45" t="n">
        <x:f>I53*J53*K53*H53</x:f>
        <x:v>33.75</x:v>
      </x:c>
      <x:c r="M53" s="28" t="str">
        <x:v>Observed APC boardings</x:v>
      </x:c>
      <x:c r="N53" s="28" t="str">
        <x:v>https://www.sfmta.com/reports/average-daily-muni-boardings-route-and-month-pre-pandemic-present</x:v>
      </x:c>
      <x:c r="O53" s="28" t="str">
        <x:v>Standard-service repeat-use scenario; exposure tier is synthetic. APC route/day averages do not identify the inspected trip, validator taps, or riders checked.</x:v>
      </x:c>
    </x:row>
    <x:row r="54" ht="31" customHeight="1">
      <x:c r="A54" s="28" t="str">
        <x:v>91 3rd Street/19th Ave Owl</x:v>
      </x:c>
      <x:c r="B54" s="28" t="str">
        <x:v>Owl</x:v>
      </x:c>
      <x:c r="C54" s="29" t="n">
        <x:v>700</x:v>
      </x:c>
      <x:c r="D54" s="29" t="n">
        <x:v>700</x:v>
      </x:c>
      <x:c r="E54" s="29" t="n">
        <x:v>700</x:v>
      </x:c>
      <x:c r="F54" s="28" t="str">
        <x:v>August 2026</x:v>
      </x:c>
      <x:c r="G54" s="57" t="str">
        <x:v>Repeat-use scenario</x:v>
      </x:c>
      <x:c r="H54" s="49" t="n">
        <x:f>IF(G54="Tourist-heavy scenario",Assumptions!$B$6,Assumptions!$B$5)</x:f>
        <x:v>45</x:v>
      </x:c>
      <x:c r="I54" s="49" t="n">
        <x:f>IF(G54="Tourist-heavy scenario",IF(C54="",Assumptions!$B$10,IF(C54&gt;=10000,Assumptions!$B$10,Assumptions!$B$9)),IF(C54&gt;=20000,Assumptions!$B$7,IF(C54&gt;=10000,Assumptions!$B$8,Assumptions!$B$9)))</x:f>
        <x:v>25</x:v>
      </x:c>
      <x:c r="J54" s="44" t="n">
        <x:f>Assumptions!$B$11</x:f>
        <x:v>0.15</x:v>
      </x:c>
      <x:c r="K54" s="44" t="n">
        <x:f>Assumptions!$B$12</x:f>
        <x:v>0.2</x:v>
      </x:c>
      <x:c r="L54" s="45" t="n">
        <x:f>I54*J54*K54*H54</x:f>
        <x:v>33.75</x:v>
      </x:c>
      <x:c r="M54" s="28" t="str">
        <x:v>Observed APC boardings</x:v>
      </x:c>
      <x:c r="N54" s="28" t="str">
        <x:v>https://www.sfmta.com/reports/average-daily-muni-boardings-route-and-month-pre-pandemic-present</x:v>
      </x:c>
      <x:c r="O54" s="28" t="str">
        <x:v>Standard-service repeat-use scenario; exposure tier is synthetic. APC route/day averages do not identify the inspected trip, validator taps, or riders checked.</x:v>
      </x:c>
    </x:row>
    <x:row r="55" ht="31" customHeight="1">
      <x:c r="A55" s="28" t="str">
        <x:v>1X California Express</x:v>
      </x:c>
      <x:c r="B55" s="28" t="str">
        <x:v>Specialized</x:v>
      </x:c>
      <x:c r="C55" s="29" t="n">
        <x:v>600</x:v>
      </x:c>
      <x:c r="D55" s="29"/>
      <x:c r="E55" s="29"/>
      <x:c r="F55" s="28" t="str">
        <x:v>August 2026</x:v>
      </x:c>
      <x:c r="G55" s="57" t="str">
        <x:v>Repeat-use scenario</x:v>
      </x:c>
      <x:c r="H55" s="49" t="n">
        <x:f>IF(G55="Tourist-heavy scenario",Assumptions!$B$6,Assumptions!$B$5)</x:f>
        <x:v>45</x:v>
      </x:c>
      <x:c r="I55" s="49" t="n">
        <x:f>IF(G55="Tourist-heavy scenario",IF(C55="",Assumptions!$B$10,IF(C55&gt;=10000,Assumptions!$B$10,Assumptions!$B$9)),IF(C55&gt;=20000,Assumptions!$B$7,IF(C55&gt;=10000,Assumptions!$B$8,Assumptions!$B$9)))</x:f>
        <x:v>25</x:v>
      </x:c>
      <x:c r="J55" s="44" t="n">
        <x:f>Assumptions!$B$11</x:f>
        <x:v>0.15</x:v>
      </x:c>
      <x:c r="K55" s="44" t="n">
        <x:f>Assumptions!$B$12</x:f>
        <x:v>0.2</x:v>
      </x:c>
      <x:c r="L55" s="45" t="n">
        <x:f>I55*J55*K55*H55</x:f>
        <x:v>33.75</x:v>
      </x:c>
      <x:c r="M55" s="28" t="str">
        <x:v>Observed APC boardings</x:v>
      </x:c>
      <x:c r="N55" s="28" t="str">
        <x:v>https://www.sfmta.com/reports/average-daily-muni-boardings-route-and-month-pre-pandemic-present</x:v>
      </x:c>
      <x:c r="O55" s="28" t="str">
        <x:v>Standard-service repeat-use scenario; exposure tier is synthetic. APC route/day averages do not identify the inspected trip, validator taps, or riders checked.</x:v>
      </x:c>
    </x:row>
    <x:row r="56" ht="31" customHeight="1">
      <x:c r="A56" s="28" t="str">
        <x:v>35 Eureka</x:v>
      </x:c>
      <x:c r="B56" s="28" t="str">
        <x:v>Connector</x:v>
      </x:c>
      <x:c r="C56" s="29" t="n">
        <x:v>600</x:v>
      </x:c>
      <x:c r="D56" s="29" t="n">
        <x:v>400</x:v>
      </x:c>
      <x:c r="E56" s="29" t="n">
        <x:v>300</x:v>
      </x:c>
      <x:c r="F56" s="28" t="str">
        <x:v>August 2026</x:v>
      </x:c>
      <x:c r="G56" s="57" t="str">
        <x:v>Repeat-use scenario</x:v>
      </x:c>
      <x:c r="H56" s="49" t="n">
        <x:f>IF(G56="Tourist-heavy scenario",Assumptions!$B$6,Assumptions!$B$5)</x:f>
        <x:v>45</x:v>
      </x:c>
      <x:c r="I56" s="49" t="n">
        <x:f>IF(G56="Tourist-heavy scenario",IF(C56="",Assumptions!$B$10,IF(C56&gt;=10000,Assumptions!$B$10,Assumptions!$B$9)),IF(C56&gt;=20000,Assumptions!$B$7,IF(C56&gt;=10000,Assumptions!$B$8,Assumptions!$B$9)))</x:f>
        <x:v>25</x:v>
      </x:c>
      <x:c r="J56" s="44" t="n">
        <x:f>Assumptions!$B$11</x:f>
        <x:v>0.15</x:v>
      </x:c>
      <x:c r="K56" s="44" t="n">
        <x:f>Assumptions!$B$12</x:f>
        <x:v>0.2</x:v>
      </x:c>
      <x:c r="L56" s="45" t="n">
        <x:f>I56*J56*K56*H56</x:f>
        <x:v>33.75</x:v>
      </x:c>
      <x:c r="M56" s="28" t="str">
        <x:v>Observed APC boardings</x:v>
      </x:c>
      <x:c r="N56" s="28" t="str">
        <x:v>https://www.sfmta.com/reports/average-daily-muni-boardings-route-and-month-pre-pandemic-present</x:v>
      </x:c>
      <x:c r="O56" s="28" t="str">
        <x:v>Standard-service repeat-use scenario; exposure tier is synthetic. APC route/day averages do not identify the inspected trip, validator taps, or riders checked.</x:v>
      </x:c>
    </x:row>
    <x:row r="57" ht="31" customHeight="1">
      <x:c r="A57" s="28" t="str">
        <x:v>58 Lake Merced</x:v>
      </x:c>
      <x:c r="B57" s="28" t="str">
        <x:v>Connector</x:v>
      </x:c>
      <x:c r="C57" s="29" t="n">
        <x:v>600</x:v>
      </x:c>
      <x:c r="D57" s="29" t="n">
        <x:v>500</x:v>
      </x:c>
      <x:c r="E57" s="29" t="n">
        <x:v>400</x:v>
      </x:c>
      <x:c r="F57" s="28" t="str">
        <x:v>August 2026</x:v>
      </x:c>
      <x:c r="G57" s="57" t="str">
        <x:v>Repeat-use scenario</x:v>
      </x:c>
      <x:c r="H57" s="49" t="n">
        <x:f>IF(G57="Tourist-heavy scenario",Assumptions!$B$6,Assumptions!$B$5)</x:f>
        <x:v>45</x:v>
      </x:c>
      <x:c r="I57" s="49" t="n">
        <x:f>IF(G57="Tourist-heavy scenario",IF(C57="",Assumptions!$B$10,IF(C57&gt;=10000,Assumptions!$B$10,Assumptions!$B$9)),IF(C57&gt;=20000,Assumptions!$B$7,IF(C57&gt;=10000,Assumptions!$B$8,Assumptions!$B$9)))</x:f>
        <x:v>25</x:v>
      </x:c>
      <x:c r="J57" s="44" t="n">
        <x:f>Assumptions!$B$11</x:f>
        <x:v>0.15</x:v>
      </x:c>
      <x:c r="K57" s="44" t="n">
        <x:f>Assumptions!$B$12</x:f>
        <x:v>0.2</x:v>
      </x:c>
      <x:c r="L57" s="45" t="n">
        <x:f>I57*J57*K57*H57</x:f>
        <x:v>33.75</x:v>
      </x:c>
      <x:c r="M57" s="28" t="str">
        <x:v>Observed APC boardings</x:v>
      </x:c>
      <x:c r="N57" s="28" t="str">
        <x:v>https://www.sfmta.com/reports/average-daily-muni-boardings-route-and-month-pre-pandemic-present</x:v>
      </x:c>
      <x:c r="O57" s="28" t="str">
        <x:v>Standard-service repeat-use scenario; exposure tier is synthetic. APC route/day averages do not identify the inspected trip, validator taps, or riders checked.</x:v>
      </x:c>
    </x:row>
    <x:row r="58" ht="31" customHeight="1">
      <x:c r="A58" s="28" t="str">
        <x:v>66 Quintara</x:v>
      </x:c>
      <x:c r="B58" s="28" t="str">
        <x:v>Connector</x:v>
      </x:c>
      <x:c r="C58" s="29" t="n">
        <x:v>600</x:v>
      </x:c>
      <x:c r="D58" s="29" t="n">
        <x:v>400</x:v>
      </x:c>
      <x:c r="E58" s="29" t="n">
        <x:v>400</x:v>
      </x:c>
      <x:c r="F58" s="28" t="str">
        <x:v>August 2026</x:v>
      </x:c>
      <x:c r="G58" s="57" t="str">
        <x:v>Repeat-use scenario</x:v>
      </x:c>
      <x:c r="H58" s="49" t="n">
        <x:f>IF(G58="Tourist-heavy scenario",Assumptions!$B$6,Assumptions!$B$5)</x:f>
        <x:v>45</x:v>
      </x:c>
      <x:c r="I58" s="49" t="n">
        <x:f>IF(G58="Tourist-heavy scenario",IF(C58="",Assumptions!$B$10,IF(C58&gt;=10000,Assumptions!$B$10,Assumptions!$B$9)),IF(C58&gt;=20000,Assumptions!$B$7,IF(C58&gt;=10000,Assumptions!$B$8,Assumptions!$B$9)))</x:f>
        <x:v>25</x:v>
      </x:c>
      <x:c r="J58" s="44" t="n">
        <x:f>Assumptions!$B$11</x:f>
        <x:v>0.15</x:v>
      </x:c>
      <x:c r="K58" s="44" t="n">
        <x:f>Assumptions!$B$12</x:f>
        <x:v>0.2</x:v>
      </x:c>
      <x:c r="L58" s="45" t="n">
        <x:f>I58*J58*K58*H58</x:f>
        <x:v>33.75</x:v>
      </x:c>
      <x:c r="M58" s="28" t="str">
        <x:v>Observed APC boardings</x:v>
      </x:c>
      <x:c r="N58" s="28" t="str">
        <x:v>https://www.sfmta.com/reports/average-daily-muni-boardings-route-and-month-pre-pandemic-present</x:v>
      </x:c>
      <x:c r="O58" s="28" t="str">
        <x:v>Standard-service repeat-use scenario; exposure tier is synthetic. APC route/day averages do not identify the inspected trip, validator taps, or riders checked.</x:v>
      </x:c>
    </x:row>
    <x:row r="59" ht="31" customHeight="1">
      <x:c r="A59" s="28" t="str">
        <x:v>56 Rutland</x:v>
      </x:c>
      <x:c r="B59" s="28" t="str">
        <x:v>Connector</x:v>
      </x:c>
      <x:c r="C59" s="29" t="n">
        <x:v>500</x:v>
      </x:c>
      <x:c r="D59" s="29" t="n">
        <x:v>300</x:v>
      </x:c>
      <x:c r="E59" s="29" t="n">
        <x:v>200</x:v>
      </x:c>
      <x:c r="F59" s="28" t="str">
        <x:v>August 2026</x:v>
      </x:c>
      <x:c r="G59" s="57" t="str">
        <x:v>Repeat-use scenario</x:v>
      </x:c>
      <x:c r="H59" s="49" t="n">
        <x:f>IF(G59="Tourist-heavy scenario",Assumptions!$B$6,Assumptions!$B$5)</x:f>
        <x:v>45</x:v>
      </x:c>
      <x:c r="I59" s="49" t="n">
        <x:f>IF(G59="Tourist-heavy scenario",IF(C59="",Assumptions!$B$10,IF(C59&gt;=10000,Assumptions!$B$10,Assumptions!$B$9)),IF(C59&gt;=20000,Assumptions!$B$7,IF(C59&gt;=10000,Assumptions!$B$8,Assumptions!$B$9)))</x:f>
        <x:v>25</x:v>
      </x:c>
      <x:c r="J59" s="44" t="n">
        <x:f>Assumptions!$B$11</x:f>
        <x:v>0.15</x:v>
      </x:c>
      <x:c r="K59" s="44" t="n">
        <x:f>Assumptions!$B$12</x:f>
        <x:v>0.2</x:v>
      </x:c>
      <x:c r="L59" s="45" t="n">
        <x:f>I59*J59*K59*H59</x:f>
        <x:v>33.75</x:v>
      </x:c>
      <x:c r="M59" s="28" t="str">
        <x:v>Observed APC boardings</x:v>
      </x:c>
      <x:c r="N59" s="28" t="str">
        <x:v>https://www.sfmta.com/reports/average-daily-muni-boardings-route-and-month-pre-pandemic-present</x:v>
      </x:c>
      <x:c r="O59" s="28" t="str">
        <x:v>Standard-service repeat-use scenario; exposure tier is synthetic. APC route/day averages do not identify the inspected trip, validator taps, or riders checked.</x:v>
      </x:c>
    </x:row>
    <x:row r="60" ht="31" customHeight="1">
      <x:c r="A60" s="28" t="str">
        <x:v>90 San Bruno Owl</x:v>
      </x:c>
      <x:c r="B60" s="28" t="str">
        <x:v>Owl</x:v>
      </x:c>
      <x:c r="C60" s="29" t="n">
        <x:v>400</x:v>
      </x:c>
      <x:c r="D60" s="29" t="n">
        <x:v>400</x:v>
      </x:c>
      <x:c r="E60" s="29" t="n">
        <x:v>300</x:v>
      </x:c>
      <x:c r="F60" s="28" t="str">
        <x:v>August 2026</x:v>
      </x:c>
      <x:c r="G60" s="57" t="str">
        <x:v>Repeat-use scenario</x:v>
      </x:c>
      <x:c r="H60" s="49" t="n">
        <x:f>IF(G60="Tourist-heavy scenario",Assumptions!$B$6,Assumptions!$B$5)</x:f>
        <x:v>45</x:v>
      </x:c>
      <x:c r="I60" s="49" t="n">
        <x:f>IF(G60="Tourist-heavy scenario",IF(C60="",Assumptions!$B$10,IF(C60&gt;=10000,Assumptions!$B$10,Assumptions!$B$9)),IF(C60&gt;=20000,Assumptions!$B$7,IF(C60&gt;=10000,Assumptions!$B$8,Assumptions!$B$9)))</x:f>
        <x:v>25</x:v>
      </x:c>
      <x:c r="J60" s="44" t="n">
        <x:f>Assumptions!$B$11</x:f>
        <x:v>0.15</x:v>
      </x:c>
      <x:c r="K60" s="44" t="n">
        <x:f>Assumptions!$B$12</x:f>
        <x:v>0.2</x:v>
      </x:c>
      <x:c r="L60" s="45" t="n">
        <x:f>I60*J60*K60*H60</x:f>
        <x:v>33.75</x:v>
      </x:c>
      <x:c r="M60" s="28" t="str">
        <x:v>Observed APC boardings</x:v>
      </x:c>
      <x:c r="N60" s="28" t="str">
        <x:v>https://www.sfmta.com/reports/average-daily-muni-boardings-route-and-month-pre-pandemic-present</x:v>
      </x:c>
      <x:c r="O60" s="28" t="str">
        <x:v>Standard-service repeat-use scenario; exposure tier is synthetic. APC route/day averages do not identify the inspected trip, validator taps, or riders checked.</x:v>
      </x:c>
    </x:row>
    <x:row r="61" ht="31" customHeight="1">
      <x:c r="A61" s="28" t="str">
        <x:v>39 Coit</x:v>
      </x:c>
      <x:c r="B61" s="28" t="str">
        <x:v>Connector</x:v>
      </x:c>
      <x:c r="C61" s="29" t="n">
        <x:v>300</x:v>
      </x:c>
      <x:c r="D61" s="29" t="n">
        <x:v>300</x:v>
      </x:c>
      <x:c r="E61" s="29" t="n">
        <x:v>300</x:v>
      </x:c>
      <x:c r="F61" s="28" t="str">
        <x:v>August 2026</x:v>
      </x:c>
      <x:c r="G61" s="57" t="str">
        <x:v>Tourist-heavy scenario</x:v>
      </x:c>
      <x:c r="H61" s="49" t="n">
        <x:f>IF(G61="Tourist-heavy scenario",Assumptions!$B$6,Assumptions!$B$5)</x:f>
        <x:v>4</x:v>
      </x:c>
      <x:c r="I61" s="49" t="n">
        <x:f>IF(G61="Tourist-heavy scenario",IF(C61="",Assumptions!$B$10,IF(C61&gt;=10000,Assumptions!$B$10,Assumptions!$B$9)),IF(C61&gt;=20000,Assumptions!$B$7,IF(C61&gt;=10000,Assumptions!$B$8,Assumptions!$B$9)))</x:f>
        <x:v>25</x:v>
      </x:c>
      <x:c r="J61" s="44" t="n">
        <x:f>Assumptions!$B$11</x:f>
        <x:v>0.15</x:v>
      </x:c>
      <x:c r="K61" s="44" t="n">
        <x:f>Assumptions!$B$12</x:f>
        <x:v>0.2</x:v>
      </x:c>
      <x:c r="L61" s="45" t="n">
        <x:f>I61*J61*K61*H61</x:f>
        <x:v>3</x:v>
      </x:c>
      <x:c r="M61" s="28" t="str">
        <x:v>Observed APC boardings</x:v>
      </x:c>
      <x:c r="N61" s="28" t="str">
        <x:v>https://www.sfmta.com/reports/average-daily-muni-boardings-route-and-month-pre-pandemic-present</x:v>
      </x:c>
      <x:c r="O61" s="28" t="str">
        <x:v>Tourist-heavy designation is a scenario assumption; repeat use is not measured. APC route/day averages do not identify the inspected trip, validator taps, or riders checked.</x:v>
      </x:c>
    </x:row>
    <x:row r="62" ht="31" customHeight="1">
      <x:c r="A62" s="28" t="str">
        <x:v>30X Marina Express</x:v>
      </x:c>
      <x:c r="B62" s="28" t="str">
        <x:v>Specialized</x:v>
      </x:c>
      <x:c r="C62" s="29" t="n">
        <x:v>200</x:v>
      </x:c>
      <x:c r="D62" s="29"/>
      <x:c r="E62" s="29"/>
      <x:c r="F62" s="28" t="str">
        <x:v>August 2026</x:v>
      </x:c>
      <x:c r="G62" s="57" t="str">
        <x:v>Repeat-use scenario</x:v>
      </x:c>
      <x:c r="H62" s="49" t="n">
        <x:f>IF(G62="Tourist-heavy scenario",Assumptions!$B$6,Assumptions!$B$5)</x:f>
        <x:v>45</x:v>
      </x:c>
      <x:c r="I62" s="49" t="n">
        <x:f>IF(G62="Tourist-heavy scenario",IF(C62="",Assumptions!$B$10,IF(C62&gt;=10000,Assumptions!$B$10,Assumptions!$B$9)),IF(C62&gt;=20000,Assumptions!$B$7,IF(C62&gt;=10000,Assumptions!$B$8,Assumptions!$B$9)))</x:f>
        <x:v>25</x:v>
      </x:c>
      <x:c r="J62" s="44" t="n">
        <x:f>Assumptions!$B$11</x:f>
        <x:v>0.15</x:v>
      </x:c>
      <x:c r="K62" s="44" t="n">
        <x:f>Assumptions!$B$12</x:f>
        <x:v>0.2</x:v>
      </x:c>
      <x:c r="L62" s="45" t="n">
        <x:f>I62*J62*K62*H62</x:f>
        <x:v>33.75</x:v>
      </x:c>
      <x:c r="M62" s="28" t="str">
        <x:v>Observed APC boardings</x:v>
      </x:c>
      <x:c r="N62" s="28" t="str">
        <x:v>https://www.sfmta.com/reports/average-daily-muni-boardings-route-and-month-pre-pandemic-present</x:v>
      </x:c>
      <x:c r="O62" s="28" t="str">
        <x:v>Standard-service repeat-use scenario; exposure tier is synthetic. APC route/day averages do not identify the inspected trip, validator taps, or riders checked.</x:v>
      </x:c>
    </x:row>
    <x:row r="63" ht="31" customHeight="1">
      <x:c r="A63" s="28" t="str">
        <x:v>714 BART Early Bird</x:v>
      </x:c>
      <x:c r="B63" s="28" t="str">
        <x:v>Specialized</x:v>
      </x:c>
      <x:c r="C63" s="29"/>
      <x:c r="D63" s="29"/>
      <x:c r="E63" s="29"/>
      <x:c r="F63" s="28" t="str">
        <x:v>August 2026</x:v>
      </x:c>
      <x:c r="G63" s="57" t="str">
        <x:v>Repeat-use scenario</x:v>
      </x:c>
      <x:c r="H63" s="49" t="n">
        <x:f>IF(G63="Tourist-heavy scenario",Assumptions!$B$6,Assumptions!$B$5)</x:f>
        <x:v>45</x:v>
      </x:c>
      <x:c r="I63" s="49" t="n">
        <x:f>IF(G63="Tourist-heavy scenario",IF(C63="",Assumptions!$B$10,IF(C63&gt;=10000,Assumptions!$B$10,Assumptions!$B$9)),IF(C63&gt;=20000,Assumptions!$B$7,IF(C63&gt;=10000,Assumptions!$B$8,Assumptions!$B$9)))</x:f>
        <x:v>25</x:v>
      </x:c>
      <x:c r="J63" s="44" t="n">
        <x:f>Assumptions!$B$11</x:f>
        <x:v>0.15</x:v>
      </x:c>
      <x:c r="K63" s="44" t="n">
        <x:f>Assumptions!$B$12</x:f>
        <x:v>0.2</x:v>
      </x:c>
      <x:c r="L63" s="45" t="n">
        <x:f>I63*J63*K63*H63</x:f>
        <x:v>33.75</x:v>
      </x:c>
      <x:c r="M63" s="28" t="str">
        <x:v>Route in dataset; weekday value not reported</x:v>
      </x:c>
      <x:c r="N63" s="28" t="str">
        <x:v>https://www.sfmta.com/reports/average-daily-muni-boardings-route-and-month-pre-pandemic-present</x:v>
      </x:c>
      <x:c r="O63" s="28" t="str">
        <x:v>Standard-service repeat-use scenario; exposure tier is synthetic. APC route/day averages do not identify the inspected trip, validator taps, or riders checked.</x:v>
      </x:c>
    </x:row>
    <x:row r="64" ht="31" customHeight="1">
      <x:c r="A64" s="28" t="str">
        <x:v>F Market &amp; Wharves</x:v>
      </x:c>
      <x:c r="B64" s="28" t="str">
        <x:v>Historic streetcar</x:v>
      </x:c>
      <x:c r="C64" s="29"/>
      <x:c r="D64" s="29"/>
      <x:c r="E64" s="29"/>
      <x:c r="F64" s="28" t="str">
        <x:v>Not reported</x:v>
      </x:c>
      <x:c r="G64" s="57" t="str">
        <x:v>Tourist-heavy scenario</x:v>
      </x:c>
      <x:c r="H64" s="49" t="n">
        <x:f>IF(G64="Tourist-heavy scenario",Assumptions!$B$6,Assumptions!$B$5)</x:f>
        <x:v>4</x:v>
      </x:c>
      <x:c r="I64" s="49" t="n">
        <x:f>IF(G64="Tourist-heavy scenario",IF(C64="",Assumptions!$B$10,IF(C64&gt;=10000,Assumptions!$B$10,Assumptions!$B$9)),IF(C64&gt;=20000,Assumptions!$B$7,IF(C64&gt;=10000,Assumptions!$B$8,Assumptions!$B$9)))</x:f>
        <x:v>35</x:v>
      </x:c>
      <x:c r="J64" s="44" t="n">
        <x:f>Assumptions!$B$11</x:f>
        <x:v>0.15</x:v>
      </x:c>
      <x:c r="K64" s="44" t="n">
        <x:f>Assumptions!$B$12</x:f>
        <x:v>0.2</x:v>
      </x:c>
      <x:c r="L64" s="45" t="n">
        <x:f>I64*J64*K64*H64</x:f>
        <x:v>4.2</x:v>
      </x:c>
      <x:c r="M64" s="28" t="str">
        <x:v>No APC boardings; estimated scenario</x:v>
      </x:c>
      <x:c r="N64" s="28" t="str">
        <x:v>https://www.sfmta.com/routes/f-market-wharves</x:v>
      </x:c>
      <x:c r="O64" s="28" t="str">
        <x:v>SFMTA excludes historic streetcars from the APC series. Rider exposure and repeat use are assumed; no tourist-share data found.</x:v>
      </x:c>
    </x:row>
  </x:sheetData>
  <x:mergeCells>
    <x:mergeCell ref="A2:N2"/>
    <x:mergeCell ref="A3:N3"/>
  </x:mergeCells>
  <x:conditionalFormatting sqref="J6:J19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{43FC98BF-F971-3906-C7C0-048206FA2FF4}</x14:id>
        </x:ext>
      </x:extLst>
    </x:cfRule>
  </x:conditionalFormatting>
  <x:conditionalFormatting sqref="L6:L64">
    <x:cfRule type="dataBar" priority="2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{8E2A7CBC-6E01-0D0C-E1C8-2589C03F0417}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804e232b2fe43f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3FC98BF-F971-3906-C7C0-048206FA2FF4}">
            <x14:dataBar gradient="1">
              <x14:cfvo type="min"/>
              <x14:cfvo type="max"/>
              <x14:fillColor rgb="FF4F81BD"/>
            </x14:dataBar>
          </x14:cfRule>
          <xm:sqref>J6:J19</xm:sqref>
        </x14:conditionalFormatting>
        <x14:conditionalFormatting>
          <x14:cfRule type="dataBar" priority="2" id="{8E2A7CBC-6E01-0D0C-E1C8-2589C03F0417}">
            <x14:dataBar gradient="1">
              <x14:cfvo type="min"/>
              <x14:cfvo type="max"/>
              <x14:fillColor rgb="FF4F81BD"/>
            </x14:dataBar>
          </x14:cfRule>
          <xm:sqref>L6:L64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32" hidden="0" customWidth="1"/>
    <x:col min="3" max="3" width="42" hidden="0" customWidth="1"/>
    <x:col min="4" max="4" width="65" hidden="0" customWidth="1"/>
    <x:col min="5" max="5" width="54" hidden="0" customWidth="1"/>
  </x:cols>
  <x:sheetData>
    <x:row r="1">
      <x:c r="A1" s="2" t="str">
        <x:v>Public data inventory</x:v>
      </x:c>
      <x:c r="B1" s="2"/>
      <x:c r="C1" s="2"/>
      <x:c r="D1" s="2"/>
      <x:c r="E1" s="2"/>
    </x:row>
    <x:row r="2">
      <x:c r="A2" s="4" t="str">
        <x:v>Latest route scenario now covers all 58 route IDs in the August 2026 weekday ridership snapshot; cable cars are excluded. F Market &amp; Wharves remains an estimated row because historic streetcars are excluded from APC.</x:v>
      </x:c>
      <x:c r="B2" s="4"/>
      <x:c r="C2" s="4"/>
      <x:c r="D2" s="4"/>
      <x:c r="E2" s="4"/>
    </x:row>
    <x:row r="4" ht="34" customHeight="1">
      <x:c r="A4" s="9" t="str">
        <x:v>Data source</x:v>
      </x:c>
      <x:c r="B4" s="9" t="str">
        <x:v>Availability found</x:v>
      </x:c>
      <x:c r="C4" s="9" t="str">
        <x:v>Use for this project</x:v>
      </x:c>
      <x:c r="D4" s="9" t="str">
        <x:v>Main limitation / access gap</x:v>
      </x:c>
      <x:c r="E4" s="9" t="str">
        <x:v>Source URL</x:v>
      </x:c>
    </x:row>
    <x:row r="5" ht="54" customHeight="1">
      <x:c r="A5" s="28" t="str">
        <x:v>Average daily Muni boardings by route and month</x:v>
      </x:c>
      <x:c r="B5" s="28" t="str">
        <x:v>Public downloadable series: 14,080 route-month-day records across 85 route IDs and 92 months; August 2026 weekday snapshot has 58 route IDs, 57 with numeric values.</x:v>
      </x:c>
      <x:c r="C5" s="28" t="str">
        <x:v>Observed route demand and route-level context.</x:v>
      </x:c>
      <x:c r="D5" s="28" t="str">
        <x:v>No trip/time-window inspection exposure; historic streetcar and cable-car ridership excluded; one August 2026 route ID has no numeric weekday value; report values can be revised.</x:v>
      </x:c>
      <x:c r="E5" s="28" t="str">
        <x:v>https://www.sfmta.com/reports/average-daily-muni-boardings-route-and-month-pre-pandemic-present</x:v>
      </x:c>
    </x:row>
    <x:row r="6" ht="54" customHeight="1">
      <x:c r="A6" s="28" t="str">
        <x:v>Muni routes, stops, route geometry</x:v>
      </x:c>
      <x:c r="B6" s="28" t="str">
        <x:v>Public SFMTA route pages and DataSF route/stop datasets.</x:v>
      </x:c>
      <x:c r="C6" s="28" t="str">
        <x:v>Map route segments, stops, and candidate inspection locations.</x:v>
      </x:c>
      <x:c r="D6" s="28" t="str">
        <x:v>Service patterns change; route geometry does not provide rider taps or behavior effects.</x:v>
      </x:c>
      <x:c r="E6" s="28" t="str">
        <x:v>https://data.sf.gov/widgets/my8t-jqzp; https://data.sfgov.org/Transportation/Muni-Stops/i28k-bkz6</x:v>
      </x:c>
    </x:row>
    <x:row r="7" ht="54" customHeight="1">
      <x:c r="A7" s="28" t="str">
        <x:v>Transit fare citations</x:v>
      </x:c>
      <x:c r="B7" s="28" t="str">
        <x:v>Public DataSF dataset, SFMTA attribution.</x:v>
      </x:c>
      <x:c r="C7" s="28" t="str">
        <x:v>Map citation events by time/location as a partial enforcement outcome.</x:v>
      </x:c>
      <x:c r="D7" s="28" t="str">
        <x:v>Citations are not inspections: no denominator of riders checked, team location logs, or deterrence measure.</x:v>
      </x:c>
      <x:c r="E7" s="28" t="str">
        <x:v>https://data.sfgov.org/Transportation/SFMTA-Muni-Transit-Fare-Citations/8pxu-u28x/about_data</x:v>
      </x:c>
    </x:row>
    <x:row r="8" ht="54" customHeight="1">
      <x:c r="A8" s="28" t="str">
        <x:v>Tap/validator activity by route and time</x:v>
      </x:c>
      <x:c r="B8" s="28" t="str">
        <x:v>No public route-time tap table located in this pass.</x:v>
      </x:c>
      <x:c r="C8" s="28" t="str">
        <x:v>Would directly measure the requested outcome before/after inspection.</x:v>
      </x:c>
      <x:c r="D8" s="28" t="str">
        <x:v>Need SFMTA/Clipper access to privacy-safe aggregated tap counts, with route/time keys and payment-mode definitions.</x:v>
      </x:c>
      <x:c r="E8" s="28" t="str">
        <x:v>https://www.sfmta.com/projects/paying-your-fares-keeps-us-moving</x:v>
      </x:c>
    </x:row>
    <x:row r="9" ht="54" customHeight="1">
      <x:c r="A9" s="28" t="str">
        <x:v>Inspection deployment, checks, visibility, and experimental outcomes</x:v>
      </x:c>
      <x:c r="B9" s="28" t="str">
        <x:v>No public event-level deployment/check dataset located in this pass.</x:v>
      </x:c>
      <x:c r="C9" s="28" t="str">
        <x:v>Needed to estimate exposure, inspector time, and causal impact on later taps.</x:v>
      </x:c>
      <x:c r="D9" s="28" t="str">
        <x:v>Request inspection event logs: route/run, stop/segment, start/end time, inspectors, riders checked, inspection visibility, and outcome; pilot random assignment is best for causal learning.</x:v>
      </x:c>
      <x:c r="E9" s="28" t="str">
        <x:v>https://www.sfmta.com/projects/paying-your-fares-keeps-us-moving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16745d30af6848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90" hidden="0" customWidth="1"/>
  </x:cols>
  <x:sheetData>
    <x:row r="1">
      <x:c r="A1" s="2" t="str">
        <x:v>Scenario assumptions</x:v>
      </x:c>
      <x:c r="B1" s="2"/>
      <x:c r="C1" s="2"/>
      <x:c r="D1" s="2"/>
    </x:row>
    <x:row r="2">
      <x:c r="A2" s="4" t="str">
        <x:v>These values are invented to demonstrate ranking behavior. Replace with pilot estimates before using the score for deployment.</x:v>
      </x:c>
      <x:c r="B2" s="4"/>
      <x:c r="C2" s="4"/>
      <x:c r="D2" s="4"/>
    </x:row>
    <x:row r="4">
      <x:c r="A4" s="8" t="str">
        <x:v>Input</x:v>
      </x:c>
      <x:c r="B4" s="8" t="str">
        <x:v>Scenario value</x:v>
      </x:c>
      <x:c r="C4" s="8" t="str">
        <x:v>Status</x:v>
      </x:c>
      <x:c r="D4" s="8" t="str">
        <x:v>Definition</x:v>
      </x:c>
    </x:row>
    <x:row r="5" ht="34" customHeight="1">
      <x:c r="A5" s="35" t="str">
        <x:v>Repeat-use future rides</x:v>
      </x:c>
      <x:c r="B5" s="36" t="n">
        <x:v>45</x:v>
      </x:c>
      <x:c r="C5" s="35" t="str">
        <x:v>Assumed</x:v>
      </x:c>
      <x:c r="D5" s="35" t="str">
        <x:v>Additional ride opportunities per rider who changes tapping behavior over the next 90 days.</x:v>
      </x:c>
    </x:row>
    <x:row r="6" ht="34" customHeight="1">
      <x:c r="A6" s="35" t="str">
        <x:v>Tourist-heavy future rides</x:v>
      </x:c>
      <x:c r="B6" s="36" t="n">
        <x:v>4</x:v>
      </x:c>
      <x:c r="C6" s="35" t="str">
        <x:v>Assumed</x:v>
      </x:c>
      <x:c r="D6" s="35" t="str">
        <x:v>Additional ride opportunities per rider who changes tapping behavior over the next 90 days.</x:v>
      </x:c>
    </x:row>
    <x:row r="7" ht="34" customHeight="1">
      <x:c r="A7" s="35" t="str">
        <x:v>Visible riders: high-volume route</x:v>
      </x:c>
      <x:c r="B7" s="36" t="n">
        <x:v>50</x:v>
      </x:c>
      <x:c r="C7" s="35" t="str">
        <x:v>Assumed</x:v>
      </x:c>
      <x:c r="D7" s="35" t="str">
        <x:v>Synthetic number of riders exposed to one inspection event on a high-volume route.</x:v>
      </x:c>
    </x:row>
    <x:row r="8" ht="34" customHeight="1">
      <x:c r="A8" s="35" t="str">
        <x:v>Visible riders: mid-volume route</x:v>
      </x:c>
      <x:c r="B8" s="36" t="n">
        <x:v>40</x:v>
      </x:c>
      <x:c r="C8" s="35" t="str">
        <x:v>Assumed</x:v>
      </x:c>
      <x:c r="D8" s="35" t="str">
        <x:v>Synthetic number of riders exposed to one inspection event on a mid-volume route.</x:v>
      </x:c>
    </x:row>
    <x:row r="9" ht="34" customHeight="1">
      <x:c r="A9" s="35" t="str">
        <x:v>Visible riders: lower-volume route</x:v>
      </x:c>
      <x:c r="B9" s="36" t="n">
        <x:v>25</x:v>
      </x:c>
      <x:c r="C9" s="35" t="str">
        <x:v>Assumed</x:v>
      </x:c>
      <x:c r="D9" s="35" t="str">
        <x:v>Synthetic number of riders exposed to one inspection event on a lower-volume route.</x:v>
      </x:c>
    </x:row>
    <x:row r="10" ht="34" customHeight="1">
      <x:c r="A10" s="35" t="str">
        <x:v>Visible riders: tourist-heavy route</x:v>
      </x:c>
      <x:c r="B10" s="36" t="n">
        <x:v>35</x:v>
      </x:c>
      <x:c r="C10" s="35" t="str">
        <x:v>Assumed</x:v>
      </x:c>
      <x:c r="D10" s="35" t="str">
        <x:v>Synthetic number of riders exposed to one inspection event on a tourist-heavy scenario route.</x:v>
      </x:c>
    </x:row>
    <x:row r="11" ht="34" customHeight="1">
      <x:c r="A11" s="35" t="str">
        <x:v>Riders without validator tap</x:v>
      </x:c>
      <x:c r="B11" s="37" t="n">
        <x:v>0.15</x:v>
      </x:c>
      <x:c r="C11" s="35" t="str">
        <x:v>Assumed</x:v>
      </x:c>
      <x:c r="D11" s="35" t="str">
        <x:v>Scenario share; not an estimate of fare evasion. Riders may pay using cash, MuniMobile, or a pass without a validator tap.</x:v>
      </x:c>
    </x:row>
    <x:row r="12" ht="34" customHeight="1">
      <x:c r="A12" s="35" t="str">
        <x:v>Conversion to future tapping</x:v>
      </x:c>
      <x:c r="B12" s="37" t="n">
        <x:v>0.2</x:v>
      </x:c>
      <x:c r="C12" s="35" t="str">
        <x:v>Assumed</x:v>
      </x:c>
      <x:c r="D12" s="35" t="str">
        <x:v>Chance that an exposed non-tapper changes behavior after the inspection.</x:v>
      </x:c>
    </x:row>
    <x:row r="13" ht="34" customHeight="1">
      <x:c r="A13" t="str">
        <x:v>Time horizon</x:v>
      </x:c>
      <x:c r="B13" s="10" t="n">
        <x:v>90</x:v>
      </x:c>
      <x:c r="C13" t="str">
        <x:v>Scenario setting</x:v>
      </x:c>
      <x:c r="D13" t="str">
        <x:v>Days after the inspection event.</x:v>
      </x:c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cfa4118ead0346be"/>
  </x:tableParts>
</x:worksheet>
</file>